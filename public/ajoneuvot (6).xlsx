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 1 - ajoneuvot (19)" sheetId="1" r:id="rId4"/>
  </sheets>
</workbook>
</file>

<file path=xl/sharedStrings.xml><?xml version="1.0" encoding="utf-8"?>
<sst xmlns="http://schemas.openxmlformats.org/spreadsheetml/2006/main" uniqueCount="738">
  <si>
    <t>ajoneuvot (19)</t>
  </si>
  <si>
    <t>Registreringsnummer</t>
  </si>
  <si>
    <t>Fordonets status</t>
  </si>
  <si>
    <t>Fordonskategori</t>
  </si>
  <si>
    <t>Märke</t>
  </si>
  <si>
    <t>Handelsbeteckning</t>
  </si>
  <si>
    <t>Slagvolym</t>
  </si>
  <si>
    <t>Tillverkningsnummer</t>
  </si>
  <si>
    <t>Ägare/innehavaren</t>
  </si>
  <si>
    <t>Filial</t>
  </si>
  <si>
    <t>Typ av ägande</t>
  </si>
  <si>
    <t>Besittningsförhållande</t>
  </si>
  <si>
    <t>Innehavarens namn</t>
  </si>
  <si>
    <t>Begränsningar</t>
  </si>
  <si>
    <t>Typ av överlåtelseanmälan</t>
  </si>
  <si>
    <t>Intervallet för periodisk besiktning början</t>
  </si>
  <si>
    <t>Intervallet för periodisk besiktning slut</t>
  </si>
  <si>
    <t>Besiktning aktuell</t>
  </si>
  <si>
    <t>CO2 Kombinerat</t>
  </si>
  <si>
    <t>CO2 Viktat, kombinerat</t>
  </si>
  <si>
    <t>WLTP CO2 kombinerad</t>
  </si>
  <si>
    <t>WLTP CO2 viktade, blandad</t>
  </si>
  <si>
    <t>Drivkraft</t>
  </si>
  <si>
    <t>Fordonets användningsändamål</t>
  </si>
  <si>
    <t>Ägarskapets startdatum</t>
  </si>
  <si>
    <t>Försäkringsbolag</t>
  </si>
  <si>
    <t>Försäkringens startdatum</t>
  </si>
  <si>
    <t>Datum för första registrering</t>
  </si>
  <si>
    <t>Ibruktagningsdatum</t>
  </si>
  <si>
    <t>Utsläppsklass</t>
  </si>
  <si>
    <t>Elhybrid</t>
  </si>
  <si>
    <t>Typ av eldrivet hybridfordon</t>
  </si>
  <si>
    <t>DSF-414</t>
  </si>
  <si>
    <t>registrerad/registrerat</t>
  </si>
  <si>
    <t>O2/Släpvagn</t>
  </si>
  <si>
    <t>Blyss</t>
  </si>
  <si>
    <t>WB2A250P2M0061107</t>
  </si>
  <si>
    <t>Oravais Servicetrafik Ab. Slagfältsvägen 51, 66800 ORAVAIS</t>
  </si>
  <si>
    <t>1 ägaren</t>
  </si>
  <si>
    <t>28.10.2024</t>
  </si>
  <si>
    <t>31.12.2026</t>
  </si>
  <si>
    <t>Ja</t>
  </si>
  <si>
    <t>Privat</t>
  </si>
  <si>
    <t>7.4.2026</t>
  </si>
  <si>
    <t>LähiTapiola</t>
  </si>
  <si>
    <t>9.12.2022</t>
  </si>
  <si>
    <t>Nej</t>
  </si>
  <si>
    <t>YIL-512</t>
  </si>
  <si>
    <t>avställd/avställt</t>
  </si>
  <si>
    <t>N1/Paketbil</t>
  </si>
  <si>
    <t>Citroen</t>
  </si>
  <si>
    <t>BERLINGO</t>
  </si>
  <si>
    <t>VF77E9HF8DJ739367</t>
  </si>
  <si>
    <t>Avställning. Periodisk besiktning har inte utförts/godkänts</t>
  </si>
  <si>
    <t>5.11.2024</t>
  </si>
  <si>
    <t>10.11.2025</t>
  </si>
  <si>
    <t>Dieselolja</t>
  </si>
  <si>
    <t>12.6.2025</t>
  </si>
  <si>
    <t>8.11.2013</t>
  </si>
  <si>
    <t>Euro 5</t>
  </si>
  <si>
    <t>YIM-257</t>
  </si>
  <si>
    <t>VF77E9HF8DJ739370</t>
  </si>
  <si>
    <t>19.12.2025</t>
  </si>
  <si>
    <t>21.12.2026</t>
  </si>
  <si>
    <t>24.9.2025</t>
  </si>
  <si>
    <t>30.9.2025</t>
  </si>
  <si>
    <t>11.11.2013</t>
  </si>
  <si>
    <t>YIM-259</t>
  </si>
  <si>
    <t>VF77E9HF8DJ743860</t>
  </si>
  <si>
    <t>25.7.2025</t>
  </si>
  <si>
    <t>27.7.2026</t>
  </si>
  <si>
    <t>22.9.2025</t>
  </si>
  <si>
    <t>VVB-271</t>
  </si>
  <si>
    <t>VF77E9HF8DJ719704</t>
  </si>
  <si>
    <t>27.9.2025</t>
  </si>
  <si>
    <t>30.9.2026</t>
  </si>
  <si>
    <t>3.10.2025</t>
  </si>
  <si>
    <t>30.9.2013</t>
  </si>
  <si>
    <t>RSL-802</t>
  </si>
  <si>
    <t>JUMPY</t>
  </si>
  <si>
    <t>VF7XURHHAGZ027176</t>
  </si>
  <si>
    <t>Budtrans Group Oy Ab</t>
  </si>
  <si>
    <t>Befrielse från bilskatt</t>
  </si>
  <si>
    <t>7.5.2025</t>
  </si>
  <si>
    <t>15.6.2026</t>
  </si>
  <si>
    <t>23.9.2025</t>
  </si>
  <si>
    <t>27.4.2026</t>
  </si>
  <si>
    <t>15.6.2016</t>
  </si>
  <si>
    <t>RSL-804</t>
  </si>
  <si>
    <t>VF7XURHHAGZ026865</t>
  </si>
  <si>
    <t>10.6.2025</t>
  </si>
  <si>
    <t>MOH-170</t>
  </si>
  <si>
    <t>Fiat</t>
  </si>
  <si>
    <t>Fiat Fiorino</t>
  </si>
  <si>
    <t>ZFA22500000264669</t>
  </si>
  <si>
    <t>Avställning. Periodisk besiktning har inte utförts/godkänts. Befrielse från bilskatt</t>
  </si>
  <si>
    <t>28.11.2024</t>
  </si>
  <si>
    <t>28.11.2025</t>
  </si>
  <si>
    <t>17.5.2023</t>
  </si>
  <si>
    <t>1.2.2012</t>
  </si>
  <si>
    <t>GHY-366</t>
  </si>
  <si>
    <t>M1/Personbil</t>
  </si>
  <si>
    <t>Ford</t>
  </si>
  <si>
    <t>FOCUS</t>
  </si>
  <si>
    <t>WF0PXXGCDP8A57754</t>
  </si>
  <si>
    <t>Svens, Mikael Nils-Erik</t>
  </si>
  <si>
    <t>12.1.2026</t>
  </si>
  <si>
    <t>12.1.2027</t>
  </si>
  <si>
    <t>26.7.2024</t>
  </si>
  <si>
    <t>29.7.2024</t>
  </si>
  <si>
    <t>27.1.2009</t>
  </si>
  <si>
    <t>FNK-418</t>
  </si>
  <si>
    <t>FIESTA</t>
  </si>
  <si>
    <t>WF0DXXGAJD7T52419</t>
  </si>
  <si>
    <t>25.11.2022</t>
  </si>
  <si>
    <t>27.11.2023</t>
  </si>
  <si>
    <t>Bensin</t>
  </si>
  <si>
    <t>16.12.2022</t>
  </si>
  <si>
    <t>1.2.2019</t>
  </si>
  <si>
    <t>23.10.2007</t>
  </si>
  <si>
    <t>Euro 4</t>
  </si>
  <si>
    <t>VTM-238</t>
  </si>
  <si>
    <t>MUU/ÖVRIG</t>
  </si>
  <si>
    <t>Mercedes-Benz</t>
  </si>
  <si>
    <t>914-42.5-37</t>
  </si>
  <si>
    <t>11.7.2023</t>
  </si>
  <si>
    <t>11.7.2024</t>
  </si>
  <si>
    <t>12.7.2023</t>
  </si>
  <si>
    <t>AKI-975</t>
  </si>
  <si>
    <t>SPRINTER 308 CDI</t>
  </si>
  <si>
    <t>WDB9036622R912097</t>
  </si>
  <si>
    <t>17.4.2024</t>
  </si>
  <si>
    <t>22.4.2025</t>
  </si>
  <si>
    <t>Tillståndspliktig</t>
  </si>
  <si>
    <t>22.12.2021</t>
  </si>
  <si>
    <t>21.12.2021</t>
  </si>
  <si>
    <t>27.11.2006</t>
  </si>
  <si>
    <t>KLX-855</t>
  </si>
  <si>
    <t>M2/Buss</t>
  </si>
  <si>
    <t>SPRINTER 516 CDI</t>
  </si>
  <si>
    <t>WDB9066571S447789</t>
  </si>
  <si>
    <t>4.8.2025</t>
  </si>
  <si>
    <t>4.8.2026</t>
  </si>
  <si>
    <t>2.8.2024</t>
  </si>
  <si>
    <t>12.8.2024</t>
  </si>
  <si>
    <t>9.6.2010</t>
  </si>
  <si>
    <t>ERY-401</t>
  </si>
  <si>
    <t>VITO 113CDI</t>
  </si>
  <si>
    <t>WDF63960123692362</t>
  </si>
  <si>
    <t>Postinjakajat Oy - Postutdelarna Ab</t>
  </si>
  <si>
    <t>17.11.2025</t>
  </si>
  <si>
    <t>17.11.2026</t>
  </si>
  <si>
    <t>1.9.2021</t>
  </si>
  <si>
    <t>30.11.2011</t>
  </si>
  <si>
    <t>YJE-740</t>
  </si>
  <si>
    <t>SPRINTER</t>
  </si>
  <si>
    <t>WDB9066331P339244</t>
  </si>
  <si>
    <t>1 innehavaren</t>
  </si>
  <si>
    <t>Annat</t>
  </si>
  <si>
    <t>Oravais Servicetrafik Ab</t>
  </si>
  <si>
    <t>3.11.2025</t>
  </si>
  <si>
    <t>3.11.2026</t>
  </si>
  <si>
    <t>23.11.2022</t>
  </si>
  <si>
    <t>24.11.2022</t>
  </si>
  <si>
    <t>26.1.2017</t>
  </si>
  <si>
    <t>CLG-114</t>
  </si>
  <si>
    <t>Sprinter</t>
  </si>
  <si>
    <t>WDB9066571P322171</t>
  </si>
  <si>
    <t>10.4.2026</t>
  </si>
  <si>
    <t>12.4.2027</t>
  </si>
  <si>
    <t>29.10.2021</t>
  </si>
  <si>
    <t>23.1.2017</t>
  </si>
  <si>
    <t>Euro VI</t>
  </si>
  <si>
    <t>EUX-886</t>
  </si>
  <si>
    <t>E 300 de</t>
  </si>
  <si>
    <t>WDD2132161A606029</t>
  </si>
  <si>
    <t>15.4.2026</t>
  </si>
  <si>
    <t>20.4.2027</t>
  </si>
  <si>
    <t>9.5.2025</t>
  </si>
  <si>
    <t>2.8.2023</t>
  </si>
  <si>
    <t>29.3.2019</t>
  </si>
  <si>
    <t>Euro 6</t>
  </si>
  <si>
    <t>(OVC-HEV) Extern uppladdning</t>
  </si>
  <si>
    <t>RVP-357</t>
  </si>
  <si>
    <t>W1K2132161A860888</t>
  </si>
  <si>
    <t>18.12.2025</t>
  </si>
  <si>
    <t>18.12.2026</t>
  </si>
  <si>
    <t>2.12.2023</t>
  </si>
  <si>
    <t>5.12.2023</t>
  </si>
  <si>
    <t>3.8.2020</t>
  </si>
  <si>
    <t>FSH-363</t>
  </si>
  <si>
    <t>N2/Lastbil</t>
  </si>
  <si>
    <t>Mitsubishi Fuso</t>
  </si>
  <si>
    <t>Canter</t>
  </si>
  <si>
    <t>TYBFE85SH6DV10862</t>
  </si>
  <si>
    <t>13.1.2027</t>
  </si>
  <si>
    <t>21.1.2025</t>
  </si>
  <si>
    <t>18.12.2013</t>
  </si>
  <si>
    <t>Euro V</t>
  </si>
  <si>
    <t>SNB-741</t>
  </si>
  <si>
    <t>Opel</t>
  </si>
  <si>
    <t>ASTRA SPORTS TOURER</t>
  </si>
  <si>
    <t>W0LPD8EUXC8029197</t>
  </si>
  <si>
    <t>Grankvist, Mikael Henrik Andreas</t>
  </si>
  <si>
    <t>30.3.2026</t>
  </si>
  <si>
    <t>30.3.2027</t>
  </si>
  <si>
    <t>22.10.2025</t>
  </si>
  <si>
    <t>IF</t>
  </si>
  <si>
    <t>28.3.2012</t>
  </si>
  <si>
    <t>EML-279</t>
  </si>
  <si>
    <t>Peugeot</t>
  </si>
  <si>
    <t>PARTNER</t>
  </si>
  <si>
    <t>VF37F9HF8DJ604143</t>
  </si>
  <si>
    <t>17.6.2025</t>
  </si>
  <si>
    <t>10.7.2026</t>
  </si>
  <si>
    <t>25.11.2025</t>
  </si>
  <si>
    <t>27.11.2025</t>
  </si>
  <si>
    <t>25.6.2013</t>
  </si>
  <si>
    <t>GOZ-338</t>
  </si>
  <si>
    <t>Renault</t>
  </si>
  <si>
    <t>Kangoo</t>
  </si>
  <si>
    <t>VF1FW24J356630153</t>
  </si>
  <si>
    <t>2.12.2025</t>
  </si>
  <si>
    <t>18.1.2027</t>
  </si>
  <si>
    <t>21.9.2021</t>
  </si>
  <si>
    <t>16.1.2017</t>
  </si>
  <si>
    <t>GOZ-336</t>
  </si>
  <si>
    <t>VF1FWD3BA51764874</t>
  </si>
  <si>
    <t>7.12.2026</t>
  </si>
  <si>
    <t>17.11.2014</t>
  </si>
  <si>
    <t>GOZ-339</t>
  </si>
  <si>
    <t>KANGOO</t>
  </si>
  <si>
    <t>VF1FW24J356630168</t>
  </si>
  <si>
    <t>Periodisk besiktning har inte utförts/godkänts. Befrielse från bilskatt</t>
  </si>
  <si>
    <t>6.11.2023</t>
  </si>
  <si>
    <t>6.11.2025</t>
  </si>
  <si>
    <t>21.4.2017</t>
  </si>
  <si>
    <t>GOZ-337</t>
  </si>
  <si>
    <t>Umpikorinen (BB) 6ov 1197cm3 A</t>
  </si>
  <si>
    <t>VF1FW24J360201191</t>
  </si>
  <si>
    <t>1.11.2023</t>
  </si>
  <si>
    <t>28.5.2018</t>
  </si>
  <si>
    <t>ENY-134</t>
  </si>
  <si>
    <t>Skoda</t>
  </si>
  <si>
    <t>YETI</t>
  </si>
  <si>
    <t>TMBKF75L4C6033247</t>
  </si>
  <si>
    <t>23.3.2026</t>
  </si>
  <si>
    <t>23.3.2027</t>
  </si>
  <si>
    <t>2.1.2012</t>
  </si>
  <si>
    <t>XXY-383</t>
  </si>
  <si>
    <t>TMBKF75LXB6058930</t>
  </si>
  <si>
    <t>19.6.2025</t>
  </si>
  <si>
    <t>25.6.2026</t>
  </si>
  <si>
    <t>21.3.2023</t>
  </si>
  <si>
    <t>31.8.2011</t>
  </si>
  <si>
    <t>XLY-496</t>
  </si>
  <si>
    <t>Volkswagen</t>
  </si>
  <si>
    <t>CADDY</t>
  </si>
  <si>
    <t>WV2ZZZ2KZ8X090806</t>
  </si>
  <si>
    <t>7.2.2025</t>
  </si>
  <si>
    <t>9.2.2026</t>
  </si>
  <si>
    <t>21.10.2024</t>
  </si>
  <si>
    <t>11.11.2024</t>
  </si>
  <si>
    <t>26.3.2008</t>
  </si>
  <si>
    <t>IXE-834</t>
  </si>
  <si>
    <t>WV2ZZZ2KZ8X147462</t>
  </si>
  <si>
    <t>15.9.2025</t>
  </si>
  <si>
    <t>15.9.2026</t>
  </si>
  <si>
    <t>12.8.2023</t>
  </si>
  <si>
    <t>13.8.2023</t>
  </si>
  <si>
    <t>21.8.2008</t>
  </si>
  <si>
    <t>BBZ-113</t>
  </si>
  <si>
    <t>WV2ZZZ2KZ8X154504</t>
  </si>
  <si>
    <t>13.6.2025</t>
  </si>
  <si>
    <t>4.6.2024</t>
  </si>
  <si>
    <t>5.6.2024</t>
  </si>
  <si>
    <t>21.10.2008</t>
  </si>
  <si>
    <t>BJZ-839</t>
  </si>
  <si>
    <t>WV2ZZZ2KZ9X088492</t>
  </si>
  <si>
    <t>14.4.2026</t>
  </si>
  <si>
    <t>14.4.2027</t>
  </si>
  <si>
    <t>24.10.2024</t>
  </si>
  <si>
    <t>13.2.2009</t>
  </si>
  <si>
    <t>BJZ-861</t>
  </si>
  <si>
    <t>WV2ZZZ2KZ9X089339</t>
  </si>
  <si>
    <t>25.10.2022</t>
  </si>
  <si>
    <t>15.11.2023</t>
  </si>
  <si>
    <t>19.1.2024</t>
  </si>
  <si>
    <t>24.2.2009</t>
  </si>
  <si>
    <t>LYY-814</t>
  </si>
  <si>
    <t>Caddy</t>
  </si>
  <si>
    <t>WV1ZZZ2KZAX037072</t>
  </si>
  <si>
    <t>Avställning</t>
  </si>
  <si>
    <t>25.11.2026</t>
  </si>
  <si>
    <t>18.7.2023</t>
  </si>
  <si>
    <t>17.7.2023</t>
  </si>
  <si>
    <t>13.11.2009</t>
  </si>
  <si>
    <t>EKZ-170</t>
  </si>
  <si>
    <t>WV1ZZZ2KZAX140789</t>
  </si>
  <si>
    <t>15.1.2026</t>
  </si>
  <si>
    <t>10.2.2027</t>
  </si>
  <si>
    <t>14.2.2025</t>
  </si>
  <si>
    <t>9.12.2010</t>
  </si>
  <si>
    <t>BOC-710</t>
  </si>
  <si>
    <t>WV1ZZZ2KZAX145422</t>
  </si>
  <si>
    <t>19.11.2025</t>
  </si>
  <si>
    <t>19.11.2026</t>
  </si>
  <si>
    <t>22.11.2024</t>
  </si>
  <si>
    <t>14.12.2010</t>
  </si>
  <si>
    <t>IJK-274</t>
  </si>
  <si>
    <t>WV1ZZZ2KZAX131227</t>
  </si>
  <si>
    <t>28.1.2025</t>
  </si>
  <si>
    <t>23.2.2026</t>
  </si>
  <si>
    <t>18.8.2023</t>
  </si>
  <si>
    <t>28.8.2023</t>
  </si>
  <si>
    <t>29.11.2010</t>
  </si>
  <si>
    <t>IJK-275</t>
  </si>
  <si>
    <t>WV1ZZZ2KZAX131237</t>
  </si>
  <si>
    <t>5.12.2025</t>
  </si>
  <si>
    <t>17.3.2025</t>
  </si>
  <si>
    <t>BOB-764</t>
  </si>
  <si>
    <t>WV1ZZZ2KZAX139956</t>
  </si>
  <si>
    <t>26.2.2026</t>
  </si>
  <si>
    <t>5.3.2027</t>
  </si>
  <si>
    <t>24.8.2023</t>
  </si>
  <si>
    <t>BTY-414</t>
  </si>
  <si>
    <t>WV1ZZZ2KZ9X134983</t>
  </si>
  <si>
    <t>Avställning. Periodisk besiktning har inte utförts/godkänts. Återkallelse</t>
  </si>
  <si>
    <t>21.3.2024</t>
  </si>
  <si>
    <t>21.3.2025</t>
  </si>
  <si>
    <t>3.2.2023</t>
  </si>
  <si>
    <t>16.2.2023</t>
  </si>
  <si>
    <t>10.9.2009</t>
  </si>
  <si>
    <t>ECZ-366</t>
  </si>
  <si>
    <t>WV1ZZZ2KZAX009233</t>
  </si>
  <si>
    <t>17.9.2025</t>
  </si>
  <si>
    <t>22.9.2026</t>
  </si>
  <si>
    <t>5.10.2023</t>
  </si>
  <si>
    <t>10.10.2023</t>
  </si>
  <si>
    <t>2.10.2009</t>
  </si>
  <si>
    <t>AKZ-433</t>
  </si>
  <si>
    <t>WV1ZZZ2KZAX003470</t>
  </si>
  <si>
    <t>3.10.2023</t>
  </si>
  <si>
    <t>3.10.2024</t>
  </si>
  <si>
    <t>30.10.2023</t>
  </si>
  <si>
    <t>31.10.2023</t>
  </si>
  <si>
    <t>29.9.2009</t>
  </si>
  <si>
    <t>AKZ-443</t>
  </si>
  <si>
    <t>WV1ZZZ2KZAX004368</t>
  </si>
  <si>
    <t>21.10.2025</t>
  </si>
  <si>
    <t>21.10.2026</t>
  </si>
  <si>
    <t>23.9.2024</t>
  </si>
  <si>
    <t>24.9.2024</t>
  </si>
  <si>
    <t>28.9.2009</t>
  </si>
  <si>
    <t>FJJ-976</t>
  </si>
  <si>
    <t>WV1ZZZ2KZ9X128223</t>
  </si>
  <si>
    <t>27.4.2022</t>
  </si>
  <si>
    <t>27.4.2023</t>
  </si>
  <si>
    <t>19.7.2023</t>
  </si>
  <si>
    <t>22.6.2009</t>
  </si>
  <si>
    <t>KRJ-368</t>
  </si>
  <si>
    <t>WV1ZZZ2KZCX046260</t>
  </si>
  <si>
    <t>12.1.2024</t>
  </si>
  <si>
    <t>16.1.2024</t>
  </si>
  <si>
    <t>26.10.2011</t>
  </si>
  <si>
    <t>BPX-195</t>
  </si>
  <si>
    <t>WV1ZZZ2KZDX011816</t>
  </si>
  <si>
    <t>16.9.2025</t>
  </si>
  <si>
    <t>16.9.2026</t>
  </si>
  <si>
    <t>20.7.2023</t>
  </si>
  <si>
    <t>6.8.2012</t>
  </si>
  <si>
    <t>IKS-937</t>
  </si>
  <si>
    <t>TRANSPORTER</t>
  </si>
  <si>
    <t>WV1ZZZ7HZDH037687</t>
  </si>
  <si>
    <t>18.3.2026</t>
  </si>
  <si>
    <t>18.3.2027</t>
  </si>
  <si>
    <t>18.1.2024</t>
  </si>
  <si>
    <t>22.1.2024</t>
  </si>
  <si>
    <t>25.10.2012</t>
  </si>
  <si>
    <t>KMM-124</t>
  </si>
  <si>
    <t>Volkswagen, VW</t>
  </si>
  <si>
    <t>WV1ZZZ2KZEX047942</t>
  </si>
  <si>
    <t>23.12.2024</t>
  </si>
  <si>
    <t>23.12.2025</t>
  </si>
  <si>
    <t>3.6.2025</t>
  </si>
  <si>
    <t>16.6.2025</t>
  </si>
  <si>
    <t>JJC-376</t>
  </si>
  <si>
    <t>WV1ZZZ2KZEX048738</t>
  </si>
  <si>
    <t>7.7.2025</t>
  </si>
  <si>
    <t>7.7.2026</t>
  </si>
  <si>
    <t>2.6.2025</t>
  </si>
  <si>
    <t>28.12.2013</t>
  </si>
  <si>
    <t>GKY-172</t>
  </si>
  <si>
    <t>WV1ZZZ2KZEX050210</t>
  </si>
  <si>
    <t>1.12.2023</t>
  </si>
  <si>
    <t>30.12.2024</t>
  </si>
  <si>
    <t>7.6.2024</t>
  </si>
  <si>
    <t>30.12.2013</t>
  </si>
  <si>
    <t>KMO-574</t>
  </si>
  <si>
    <t>WV1ZZZ2KZFX019851</t>
  </si>
  <si>
    <t>Periodisk besiktning har inte utförts/godkänts</t>
  </si>
  <si>
    <t>14.8.2024</t>
  </si>
  <si>
    <t>14.8.2025</t>
  </si>
  <si>
    <t>12.8.2014</t>
  </si>
  <si>
    <t>USF-169</t>
  </si>
  <si>
    <t>WV1ZZZ2KZFX023589</t>
  </si>
  <si>
    <t>15.1.2027</t>
  </si>
  <si>
    <t>YKU-566</t>
  </si>
  <si>
    <t>ID.4 PRO 150 KW</t>
  </si>
  <si>
    <t>WVGZZZE2ZMP001312</t>
  </si>
  <si>
    <t>15.8.2025</t>
  </si>
  <si>
    <t>17.8.2026</t>
  </si>
  <si>
    <t>Elektricitet</t>
  </si>
  <si>
    <t>15.8.2022</t>
  </si>
  <si>
    <t>28.12.2020</t>
  </si>
  <si>
    <t>JMR-900</t>
  </si>
  <si>
    <t>WV2ZZZSK3PX022321</t>
  </si>
  <si>
    <t>20.3.2025</t>
  </si>
  <si>
    <t>9.1.2023</t>
  </si>
  <si>
    <t>JOC-393</t>
  </si>
  <si>
    <t>WV2ZZZSKXSX100814</t>
  </si>
  <si>
    <t>4.11.2025</t>
  </si>
  <si>
    <t>4.11.2026</t>
  </si>
  <si>
    <t>UXF-336</t>
  </si>
  <si>
    <t>VF77E9HF8DJ731353</t>
  </si>
  <si>
    <t>Budtrans Group Oy Ab. Slagfältsvägen 51, 66800 ORAVAIS</t>
  </si>
  <si>
    <t>6.2.2026</t>
  </si>
  <si>
    <t>8.2.2027</t>
  </si>
  <si>
    <t>7.11.2025</t>
  </si>
  <si>
    <t>15.11.2025</t>
  </si>
  <si>
    <t>5.11.2013</t>
  </si>
  <si>
    <t>GKS-642</t>
  </si>
  <si>
    <t>VF77F9HF8DJ587043</t>
  </si>
  <si>
    <t>11.2.2025</t>
  </si>
  <si>
    <t>11.2.2026</t>
  </si>
  <si>
    <t>11.8.2025</t>
  </si>
  <si>
    <t>6.8.2025</t>
  </si>
  <si>
    <t>24.4.2013</t>
  </si>
  <si>
    <t>VXH-696</t>
  </si>
  <si>
    <t>VF77E9HF8DJ712160</t>
  </si>
  <si>
    <t>21.8.2025</t>
  </si>
  <si>
    <t>MMO-422</t>
  </si>
  <si>
    <t>VF7XURHHAGZ018803</t>
  </si>
  <si>
    <t>27.6.2025</t>
  </si>
  <si>
    <t>20.7.2026</t>
  </si>
  <si>
    <t>30.5.2016</t>
  </si>
  <si>
    <t>OVB-344</t>
  </si>
  <si>
    <t>VF7XURHHAGZ023940</t>
  </si>
  <si>
    <t>13.2.2025</t>
  </si>
  <si>
    <t>21.1.2026</t>
  </si>
  <si>
    <t>14.6.2016</t>
  </si>
  <si>
    <t>BRE-103</t>
  </si>
  <si>
    <t>VF37F9HF8DJ604140</t>
  </si>
  <si>
    <t>8.9.2025</t>
  </si>
  <si>
    <t>8.9.2026</t>
  </si>
  <si>
    <t>18.9.2025</t>
  </si>
  <si>
    <t>IJA-707</t>
  </si>
  <si>
    <t>CADDY MAXI</t>
  </si>
  <si>
    <t>WV1ZZZ2KZ9X132113</t>
  </si>
  <si>
    <t>18.9.2026</t>
  </si>
  <si>
    <t>18.3.2025</t>
  </si>
  <si>
    <t>24.8.2009</t>
  </si>
  <si>
    <t>ISL-829</t>
  </si>
  <si>
    <t>WV1ZZZ2KZEX099626</t>
  </si>
  <si>
    <t>18.8.2025</t>
  </si>
  <si>
    <t>18.8.2026</t>
  </si>
  <si>
    <t>29.1.2026</t>
  </si>
  <si>
    <t>15.4.2014</t>
  </si>
  <si>
    <t>CIL-479</t>
  </si>
  <si>
    <t>Dacia</t>
  </si>
  <si>
    <t>DUSTER</t>
  </si>
  <si>
    <t>UU1HSDACN45428765</t>
  </si>
  <si>
    <t>Budtrans Malax Ab/Oy. Slagfältsvägen 51, 66800 ORAVAIS</t>
  </si>
  <si>
    <t>Tilläggsskylt. Befrielse från bilskatt</t>
  </si>
  <si>
    <t>12.9.2025</t>
  </si>
  <si>
    <t>14.9.2026</t>
  </si>
  <si>
    <t>19.12.2024</t>
  </si>
  <si>
    <t>20.12.2024</t>
  </si>
  <si>
    <t>18.8.2011</t>
  </si>
  <si>
    <t>BRX-455</t>
  </si>
  <si>
    <t>TRANSIT COURIER</t>
  </si>
  <si>
    <t>WF0WXXTACWEJ05701</t>
  </si>
  <si>
    <t>28.3.2022</t>
  </si>
  <si>
    <t>24.5.2024</t>
  </si>
  <si>
    <t>19.11.2014</t>
  </si>
  <si>
    <t>VXS-803</t>
  </si>
  <si>
    <t>WF0WXXTACWER27363</t>
  </si>
  <si>
    <t>26.8.2025</t>
  </si>
  <si>
    <t>26.8.2026</t>
  </si>
  <si>
    <t>1.9.2022</t>
  </si>
  <si>
    <t>9.1.2015</t>
  </si>
  <si>
    <t>ZKM-222</t>
  </si>
  <si>
    <t>Transit Courier</t>
  </si>
  <si>
    <t>WF0WXXTACWFK46694</t>
  </si>
  <si>
    <t>20.5.2027</t>
  </si>
  <si>
    <t>25.5.2021</t>
  </si>
  <si>
    <t>5.5.2015</t>
  </si>
  <si>
    <t>SNK-471</t>
  </si>
  <si>
    <t>WF0WXXTACWFY68941</t>
  </si>
  <si>
    <t>13.10.2025</t>
  </si>
  <si>
    <t>13.10.2026</t>
  </si>
  <si>
    <t>26.3.2021</t>
  </si>
  <si>
    <t>20.8.2015</t>
  </si>
  <si>
    <t>NKB-862</t>
  </si>
  <si>
    <t>WF0WXXTACWFP09821</t>
  </si>
  <si>
    <t>16.3.2026</t>
  </si>
  <si>
    <t>16.3.2027</t>
  </si>
  <si>
    <t>11.5.2016</t>
  </si>
  <si>
    <t>8.2.2016</t>
  </si>
  <si>
    <t>MNE-571</t>
  </si>
  <si>
    <t>WF0WXXTACWHC41852</t>
  </si>
  <si>
    <t>30.9.2024</t>
  </si>
  <si>
    <t>20.11.2020</t>
  </si>
  <si>
    <t>13.11.2017</t>
  </si>
  <si>
    <t>ZLV-281</t>
  </si>
  <si>
    <t>WF0WXXTACWHD57489</t>
  </si>
  <si>
    <t>4.9.2024</t>
  </si>
  <si>
    <t>7.9.2026</t>
  </si>
  <si>
    <t>2.9.2021</t>
  </si>
  <si>
    <t>1.8.2018</t>
  </si>
  <si>
    <t>CLJ-338</t>
  </si>
  <si>
    <t>WF0WXXTACWJY87549</t>
  </si>
  <si>
    <t>19.5.2025</t>
  </si>
  <si>
    <t>19.5.2027</t>
  </si>
  <si>
    <t>7.5.2021</t>
  </si>
  <si>
    <t>4.5.2018</t>
  </si>
  <si>
    <t>FNK-154</t>
  </si>
  <si>
    <t>WF0WXXTACWJM19255</t>
  </si>
  <si>
    <t>4.2.2025</t>
  </si>
  <si>
    <t>4.2.2027</t>
  </si>
  <si>
    <t>1.3.2022</t>
  </si>
  <si>
    <t>KTK-434</t>
  </si>
  <si>
    <t>WF0WXXTACWJB27921</t>
  </si>
  <si>
    <t>12.11.2018</t>
  </si>
  <si>
    <t>FNV-148</t>
  </si>
  <si>
    <t>WF0WXXTACWKE54826</t>
  </si>
  <si>
    <t>15.7.2025</t>
  </si>
  <si>
    <t>15.7.2027</t>
  </si>
  <si>
    <t>11.6.2019</t>
  </si>
  <si>
    <t>CNU-762</t>
  </si>
  <si>
    <t>WF0WXXTACWKL63264</t>
  </si>
  <si>
    <t>14.10.2025</t>
  </si>
  <si>
    <t>14.10.2027</t>
  </si>
  <si>
    <t>30.5.2022</t>
  </si>
  <si>
    <t>30.9.2019</t>
  </si>
  <si>
    <t>GNV-194</t>
  </si>
  <si>
    <t>WF0WXXTACWKT74125</t>
  </si>
  <si>
    <t>14.11.2025</t>
  </si>
  <si>
    <t>15.11.2027</t>
  </si>
  <si>
    <t>5.11.2019</t>
  </si>
  <si>
    <t>OXV-397</t>
  </si>
  <si>
    <t>WF0WXXTACWLA18497</t>
  </si>
  <si>
    <t>26.8.2024</t>
  </si>
  <si>
    <t>24.7.2020</t>
  </si>
  <si>
    <t>TRZ-436</t>
  </si>
  <si>
    <t>Sprinter 316 CDI</t>
  </si>
  <si>
    <t>WDB9061331N436980</t>
  </si>
  <si>
    <t>13.12.2023</t>
  </si>
  <si>
    <t>13.12.2024</t>
  </si>
  <si>
    <t>20.10.2025</t>
  </si>
  <si>
    <t>16.5.2024</t>
  </si>
  <si>
    <t>19.2.2010</t>
  </si>
  <si>
    <t>GLH-516</t>
  </si>
  <si>
    <t>WDB9061551N586287</t>
  </si>
  <si>
    <t>Besiktningen gäller t.o.m. utgången av &lt;datum&gt;</t>
  </si>
  <si>
    <t>29.4.2025</t>
  </si>
  <si>
    <t>29.4.2026</t>
  </si>
  <si>
    <t>Tillståndspliktig godstrafik</t>
  </si>
  <si>
    <t>12.6.2019</t>
  </si>
  <si>
    <t>27.5.2014</t>
  </si>
  <si>
    <t>OVS-609</t>
  </si>
  <si>
    <t>WDB9066351P369389</t>
  </si>
  <si>
    <t>24.3.2026</t>
  </si>
  <si>
    <t>24.3.2027</t>
  </si>
  <si>
    <t>17.3.2017</t>
  </si>
  <si>
    <t>YXO-770</t>
  </si>
  <si>
    <t>W1V9106331P352119</t>
  </si>
  <si>
    <t>Budtrans Malax Ab/Oy</t>
  </si>
  <si>
    <t>28.5.2025</t>
  </si>
  <si>
    <t>28.5.2027</t>
  </si>
  <si>
    <t>19.3.2026</t>
  </si>
  <si>
    <t>20.5.2021</t>
  </si>
  <si>
    <t>OZS-866</t>
  </si>
  <si>
    <t>W1V3HCFZ3PP538943</t>
  </si>
  <si>
    <t>30.8.2024</t>
  </si>
  <si>
    <t>30.8.2028</t>
  </si>
  <si>
    <t>6.11.2024</t>
  </si>
  <si>
    <t>KVJ-644</t>
  </si>
  <si>
    <t>W1VGHBFZ7PP581886</t>
  </si>
  <si>
    <t>3.2.2025</t>
  </si>
  <si>
    <t>5.2.2029</t>
  </si>
  <si>
    <t>30.1.2025</t>
  </si>
  <si>
    <t>IHL-945</t>
  </si>
  <si>
    <t>CADDY LIFE</t>
  </si>
  <si>
    <t>WV2ZZZ2KZ9X014514</t>
  </si>
  <si>
    <t>27.11.2024</t>
  </si>
  <si>
    <t>25.11.2024</t>
  </si>
  <si>
    <t>9.10.2008</t>
  </si>
  <si>
    <t>OMZ-273</t>
  </si>
  <si>
    <t>WV2ZZZ2KZAX038643</t>
  </si>
  <si>
    <t>22.10.2026</t>
  </si>
  <si>
    <t>9.1.2025</t>
  </si>
  <si>
    <t>8.1.2025</t>
  </si>
  <si>
    <t>14.10.2009</t>
  </si>
  <si>
    <t>IJP-444</t>
  </si>
  <si>
    <t>WV2ZZZ2KZBX204170</t>
  </si>
  <si>
    <t>16.7.2025</t>
  </si>
  <si>
    <t>16.7.2026</t>
  </si>
  <si>
    <t>12.11.2024</t>
  </si>
  <si>
    <t>30.3.2011</t>
  </si>
  <si>
    <t>YHU-776</t>
  </si>
  <si>
    <t>UU1HSDADG50142160</t>
  </si>
  <si>
    <t>Budtrans Waasa Oy Ab. Slagfältsvägen 51, 66800 ORAVAIS</t>
  </si>
  <si>
    <t>2.2.2026</t>
  </si>
  <si>
    <t>10.4.2024</t>
  </si>
  <si>
    <t>31.3.2025</t>
  </si>
  <si>
    <t>31.1.2014</t>
  </si>
  <si>
    <t>ILP-291</t>
  </si>
  <si>
    <t>UU1HSDADG50583216</t>
  </si>
  <si>
    <t>31.7.2025</t>
  </si>
  <si>
    <t>12.8.2026</t>
  </si>
  <si>
    <t>3.8.2023</t>
  </si>
  <si>
    <t>16.4.2014</t>
  </si>
  <si>
    <t>SLH-464</t>
  </si>
  <si>
    <t>UU1HSDACN48417481</t>
  </si>
  <si>
    <t>16.2.2026</t>
  </si>
  <si>
    <t>16.2.2027</t>
  </si>
  <si>
    <t>6.3.2013</t>
  </si>
  <si>
    <t>NKE-749</t>
  </si>
  <si>
    <t>UU1HSDJ9G54216883</t>
  </si>
  <si>
    <t>19.3.2025</t>
  </si>
  <si>
    <t>28.4.2026</t>
  </si>
  <si>
    <t>5.4.2024</t>
  </si>
  <si>
    <t>28.4.2016</t>
  </si>
  <si>
    <t>CLA-346</t>
  </si>
  <si>
    <t>DOKKER</t>
  </si>
  <si>
    <t>UU18SDPJ558821736</t>
  </si>
  <si>
    <t>27.12.2023</t>
  </si>
  <si>
    <t>19.12.2017</t>
  </si>
  <si>
    <t>CLC-149</t>
  </si>
  <si>
    <t>UU1HSDJ9G58765502</t>
  </si>
  <si>
    <t>5.8.2025</t>
  </si>
  <si>
    <t>5.8.2027</t>
  </si>
  <si>
    <t>11.9.2024</t>
  </si>
  <si>
    <t>9.11.2017</t>
  </si>
  <si>
    <t>CLP-722</t>
  </si>
  <si>
    <t>VF1HJD20559755537</t>
  </si>
  <si>
    <t>28.1.2027</t>
  </si>
  <si>
    <t>28.3.2018</t>
  </si>
  <si>
    <t>YJX-921</t>
  </si>
  <si>
    <t>UU18SDPJ559944027</t>
  </si>
  <si>
    <t>25.3.2025</t>
  </si>
  <si>
    <t>25.3.2027</t>
  </si>
  <si>
    <t>25.3.2023</t>
  </si>
  <si>
    <t>13.3.2018</t>
  </si>
  <si>
    <t>CNU-450</t>
  </si>
  <si>
    <t>UU18SDPJ563509226</t>
  </si>
  <si>
    <t>9.12.2025</t>
  </si>
  <si>
    <t>9.12.2027</t>
  </si>
  <si>
    <t>11.11.2019</t>
  </si>
  <si>
    <t>CNU-451</t>
  </si>
  <si>
    <t>UU18SDPJ563509227</t>
  </si>
  <si>
    <t>5.9.2025</t>
  </si>
  <si>
    <t>20.9.2027</t>
  </si>
  <si>
    <t>MYZ-550</t>
  </si>
  <si>
    <t>VF1HJD40566317052</t>
  </si>
  <si>
    <t>AB STEFAN HJORT OY</t>
  </si>
  <si>
    <t>17.1.2025</t>
  </si>
  <si>
    <t>11.1.2024</t>
  </si>
  <si>
    <t>18.1.2021</t>
  </si>
  <si>
    <t>CLC-612</t>
  </si>
  <si>
    <t>Transit Connect</t>
  </si>
  <si>
    <t>WF0RXXWPGRHK27648</t>
  </si>
  <si>
    <t>1.10.2024</t>
  </si>
  <si>
    <t>5.10.2026</t>
  </si>
  <si>
    <t>4.9.2023</t>
  </si>
  <si>
    <t>14.12.2017</t>
  </si>
  <si>
    <t>MVI-417</t>
  </si>
  <si>
    <t>Hyundai</t>
  </si>
  <si>
    <t>i 30</t>
  </si>
  <si>
    <t>TMADC51SBBJ151861</t>
  </si>
  <si>
    <t>24.9.2026</t>
  </si>
  <si>
    <t>8.4.2024</t>
  </si>
  <si>
    <t>15.10.2010</t>
  </si>
  <si>
    <t>UZT-120</t>
  </si>
  <si>
    <t>N3/Lastbil</t>
  </si>
  <si>
    <t>MAN</t>
  </si>
  <si>
    <t>TGM 15.250 4x2 LL</t>
  </si>
  <si>
    <t>WMAN26ZZ4HY358495</t>
  </si>
  <si>
    <t>Budtrans Waasa Oy Ab</t>
  </si>
  <si>
    <t>21.1.2027</t>
  </si>
  <si>
    <t>22.1.2026</t>
  </si>
  <si>
    <t>21.3.2017</t>
  </si>
  <si>
    <t>GOE-977</t>
  </si>
  <si>
    <t>Sprinter 519 CDI</t>
  </si>
  <si>
    <t>W1V9071551N091366</t>
  </si>
  <si>
    <t>30.5.2025</t>
  </si>
  <si>
    <t>1.6.2026</t>
  </si>
  <si>
    <t>29.5.2020</t>
  </si>
  <si>
    <t>IPH-626</t>
  </si>
  <si>
    <t>VF1WF000964388774</t>
  </si>
  <si>
    <t>16.2.2028</t>
  </si>
  <si>
    <t>11.3.2024</t>
  </si>
  <si>
    <t>21.1.2020</t>
  </si>
  <si>
    <t>KPR-444</t>
  </si>
  <si>
    <t>WV1ZZZ2KZCX007520</t>
  </si>
  <si>
    <t>2.7.2025</t>
  </si>
  <si>
    <t>2.7.2026</t>
  </si>
  <si>
    <t>27.7.2011</t>
  </si>
  <si>
    <t>UZF-789</t>
  </si>
  <si>
    <t>WV1ZZZ2KZCX100230</t>
  </si>
  <si>
    <t>27.1.2026</t>
  </si>
  <si>
    <t>27.1.2027</t>
  </si>
  <si>
    <t>20.2.2026</t>
  </si>
  <si>
    <t>3.5.2016</t>
  </si>
  <si>
    <t>28.11.2012</t>
  </si>
  <si>
    <t>XTO-875</t>
  </si>
  <si>
    <t>WV1ZZZ2KZCX024146</t>
  </si>
  <si>
    <t>28.1.2026</t>
  </si>
  <si>
    <t>18.2.2026</t>
  </si>
  <si>
    <t>4.3.2026</t>
  </si>
  <si>
    <t>9.9.2011</t>
  </si>
  <si>
    <t>NJM-549</t>
  </si>
  <si>
    <t>WV2ZZZ2KZEX067225</t>
  </si>
  <si>
    <t>2.4.2025</t>
  </si>
  <si>
    <t>28.11.2013</t>
  </si>
  <si>
    <t>BRK-530</t>
  </si>
  <si>
    <t>Volvo</t>
  </si>
  <si>
    <t>FL-FLL42 RD-4*2 / 4700</t>
  </si>
  <si>
    <t>YV2TN12A9BB598743</t>
  </si>
  <si>
    <t>14.10.2026</t>
  </si>
  <si>
    <t>4.10.2017</t>
  </si>
  <si>
    <t>YJB-335</t>
  </si>
  <si>
    <t>FM</t>
  </si>
  <si>
    <t>YV2XTW0CXGA787522</t>
  </si>
  <si>
    <t>28.9.2026</t>
  </si>
  <si>
    <t>7.5.2024</t>
  </si>
  <si>
    <t>24.2.2016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</si>
</sst>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E1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8516" style="1" customWidth="1"/>
    <col min="2" max="2" width="17.5" style="1" customWidth="1"/>
    <col min="3" max="4" width="14.6719" style="1" customWidth="1"/>
    <col min="5" max="5" width="26.6719" style="1" customWidth="1"/>
    <col min="6" max="6" width="9.67188" style="1" customWidth="1"/>
    <col min="7" max="7" width="19.3516" style="1" customWidth="1"/>
    <col min="8" max="8" width="46.5" style="1" customWidth="1"/>
    <col min="9" max="9" width="5.17188" style="1" customWidth="1"/>
    <col min="10" max="10" width="12.8516" style="1" customWidth="1"/>
    <col min="11" max="11" width="19.3516" style="1" customWidth="1"/>
    <col min="12" max="12" width="28" style="1" customWidth="1"/>
    <col min="13" max="13" width="62" style="1" customWidth="1"/>
    <col min="14" max="14" width="22.5" style="1" customWidth="1"/>
    <col min="15" max="15" width="34.1719" style="1" customWidth="1"/>
    <col min="16" max="16" width="32" style="1" customWidth="1"/>
    <col min="17" max="17" width="15.6719" style="1" customWidth="1"/>
    <col min="18" max="18" width="14.6719" style="1" customWidth="1"/>
    <col min="19" max="19" width="20" style="1" customWidth="1"/>
    <col min="20" max="20" width="19.8516" style="1" customWidth="1"/>
    <col min="21" max="21" width="23.5" style="1" customWidth="1"/>
    <col min="22" max="22" width="8.67188" style="1" customWidth="1"/>
    <col min="23" max="23" width="27" style="1" customWidth="1"/>
    <col min="24" max="25" width="20.6719" style="1" customWidth="1"/>
    <col min="26" max="26" width="22" style="1" customWidth="1"/>
    <col min="27" max="27" width="24.1719" style="1" customWidth="1"/>
    <col min="28" max="28" width="17.5" style="1" customWidth="1"/>
    <col min="29" max="29" width="12.6719" style="1" customWidth="1"/>
    <col min="30" max="30" width="8" style="1" customWidth="1"/>
    <col min="31" max="31" width="24.8516" style="1" customWidth="1"/>
    <col min="3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20.25" customHeight="1">
      <c r="A3" t="s" s="4">
        <f>"DSF-414"</f>
        <v>32</v>
      </c>
      <c r="B3" t="s" s="5">
        <v>33</v>
      </c>
      <c r="C3" t="s" s="6">
        <v>34</v>
      </c>
      <c r="D3" t="s" s="6">
        <v>35</v>
      </c>
      <c r="E3" s="7"/>
      <c r="F3" s="7"/>
      <c r="G3" t="s" s="6">
        <v>36</v>
      </c>
      <c r="H3" t="s" s="6">
        <v>37</v>
      </c>
      <c r="I3" s="7"/>
      <c r="J3" t="s" s="6">
        <v>38</v>
      </c>
      <c r="K3" s="7"/>
      <c r="L3" s="7"/>
      <c r="M3" s="7"/>
      <c r="N3" s="7"/>
      <c r="O3" t="s" s="6">
        <v>39</v>
      </c>
      <c r="P3" t="s" s="6">
        <v>40</v>
      </c>
      <c r="Q3" t="s" s="6">
        <v>41</v>
      </c>
      <c r="R3" s="7"/>
      <c r="S3" s="7"/>
      <c r="T3" s="7"/>
      <c r="U3" s="7"/>
      <c r="V3" s="7"/>
      <c r="W3" t="s" s="6">
        <v>42</v>
      </c>
      <c r="X3" t="s" s="6">
        <v>43</v>
      </c>
      <c r="Y3" t="s" s="6">
        <v>44</v>
      </c>
      <c r="Z3" t="s" s="6">
        <v>45</v>
      </c>
      <c r="AA3" t="s" s="6">
        <v>45</v>
      </c>
      <c r="AB3" t="s" s="6">
        <v>45</v>
      </c>
      <c r="AC3" s="7"/>
      <c r="AD3" t="s" s="6">
        <v>46</v>
      </c>
      <c r="AE3" s="7"/>
    </row>
    <row r="4" ht="20.05" customHeight="1">
      <c r="A4" t="s" s="8">
        <f>"YIL-512"</f>
        <v>47</v>
      </c>
      <c r="B4" t="s" s="9">
        <v>48</v>
      </c>
      <c r="C4" t="s" s="10">
        <v>49</v>
      </c>
      <c r="D4" t="s" s="10">
        <v>50</v>
      </c>
      <c r="E4" t="s" s="10">
        <v>51</v>
      </c>
      <c r="F4" s="11">
        <v>1560</v>
      </c>
      <c r="G4" t="s" s="10">
        <v>52</v>
      </c>
      <c r="H4" t="s" s="10">
        <v>37</v>
      </c>
      <c r="I4" s="12"/>
      <c r="J4" t="s" s="10">
        <v>38</v>
      </c>
      <c r="K4" s="12"/>
      <c r="L4" s="12"/>
      <c r="M4" t="s" s="10">
        <v>53</v>
      </c>
      <c r="N4" s="12"/>
      <c r="O4" t="s" s="10">
        <v>54</v>
      </c>
      <c r="P4" t="s" s="10">
        <v>55</v>
      </c>
      <c r="Q4" t="s" s="10">
        <v>41</v>
      </c>
      <c r="R4" s="11">
        <v>122</v>
      </c>
      <c r="S4" s="12"/>
      <c r="T4" s="12"/>
      <c r="U4" s="12"/>
      <c r="V4" t="s" s="10">
        <v>56</v>
      </c>
      <c r="W4" t="s" s="10">
        <v>42</v>
      </c>
      <c r="X4" t="s" s="10">
        <v>57</v>
      </c>
      <c r="Y4" s="12"/>
      <c r="Z4" s="12"/>
      <c r="AA4" t="s" s="10">
        <v>58</v>
      </c>
      <c r="AB4" t="s" s="10">
        <v>58</v>
      </c>
      <c r="AC4" t="s" s="10">
        <v>59</v>
      </c>
      <c r="AD4" t="s" s="10">
        <v>46</v>
      </c>
      <c r="AE4" s="12"/>
    </row>
    <row r="5" ht="20.05" customHeight="1">
      <c r="A5" t="s" s="8">
        <f>"YIM-257"</f>
        <v>60</v>
      </c>
      <c r="B5" t="s" s="9">
        <v>33</v>
      </c>
      <c r="C5" t="s" s="10">
        <v>49</v>
      </c>
      <c r="D5" t="s" s="10">
        <v>50</v>
      </c>
      <c r="E5" t="s" s="10">
        <v>51</v>
      </c>
      <c r="F5" s="11">
        <v>1560</v>
      </c>
      <c r="G5" t="s" s="10">
        <v>61</v>
      </c>
      <c r="H5" t="s" s="10">
        <v>37</v>
      </c>
      <c r="I5" s="12"/>
      <c r="J5" t="s" s="10">
        <v>38</v>
      </c>
      <c r="K5" s="12"/>
      <c r="L5" s="12"/>
      <c r="M5" s="12"/>
      <c r="N5" s="12"/>
      <c r="O5" t="s" s="10">
        <v>62</v>
      </c>
      <c r="P5" t="s" s="10">
        <v>63</v>
      </c>
      <c r="Q5" t="s" s="10">
        <v>41</v>
      </c>
      <c r="R5" s="11">
        <v>122</v>
      </c>
      <c r="S5" s="12"/>
      <c r="T5" s="12"/>
      <c r="U5" s="12"/>
      <c r="V5" t="s" s="10">
        <v>56</v>
      </c>
      <c r="W5" t="s" s="10">
        <v>42</v>
      </c>
      <c r="X5" t="s" s="10">
        <v>64</v>
      </c>
      <c r="Y5" t="s" s="10">
        <v>44</v>
      </c>
      <c r="Z5" t="s" s="10">
        <v>65</v>
      </c>
      <c r="AA5" t="s" s="10">
        <v>66</v>
      </c>
      <c r="AB5" t="s" s="10">
        <v>66</v>
      </c>
      <c r="AC5" t="s" s="10">
        <v>59</v>
      </c>
      <c r="AD5" t="s" s="10">
        <v>46</v>
      </c>
      <c r="AE5" s="12"/>
    </row>
    <row r="6" ht="20.05" customHeight="1">
      <c r="A6" t="s" s="8">
        <f>"YIM-259"</f>
        <v>67</v>
      </c>
      <c r="B6" t="s" s="9">
        <v>33</v>
      </c>
      <c r="C6" t="s" s="10">
        <v>49</v>
      </c>
      <c r="D6" t="s" s="10">
        <v>50</v>
      </c>
      <c r="E6" t="s" s="10">
        <v>51</v>
      </c>
      <c r="F6" s="11">
        <v>1560</v>
      </c>
      <c r="G6" t="s" s="10">
        <v>68</v>
      </c>
      <c r="H6" t="s" s="10">
        <v>37</v>
      </c>
      <c r="I6" s="12"/>
      <c r="J6" t="s" s="10">
        <v>38</v>
      </c>
      <c r="K6" s="12"/>
      <c r="L6" s="12"/>
      <c r="M6" s="12"/>
      <c r="N6" s="12"/>
      <c r="O6" t="s" s="10">
        <v>69</v>
      </c>
      <c r="P6" t="s" s="10">
        <v>70</v>
      </c>
      <c r="Q6" t="s" s="10">
        <v>41</v>
      </c>
      <c r="R6" s="11">
        <v>122</v>
      </c>
      <c r="S6" s="12"/>
      <c r="T6" s="12"/>
      <c r="U6" s="12"/>
      <c r="V6" t="s" s="10">
        <v>56</v>
      </c>
      <c r="W6" t="s" s="10">
        <v>42</v>
      </c>
      <c r="X6" t="s" s="10">
        <v>71</v>
      </c>
      <c r="Y6" t="s" s="10">
        <v>44</v>
      </c>
      <c r="Z6" t="s" s="10">
        <v>65</v>
      </c>
      <c r="AA6" t="s" s="10">
        <v>66</v>
      </c>
      <c r="AB6" t="s" s="10">
        <v>66</v>
      </c>
      <c r="AC6" t="s" s="10">
        <v>59</v>
      </c>
      <c r="AD6" t="s" s="10">
        <v>46</v>
      </c>
      <c r="AE6" s="12"/>
    </row>
    <row r="7" ht="20.05" customHeight="1">
      <c r="A7" t="s" s="8">
        <f>"VVB-271"</f>
        <v>72</v>
      </c>
      <c r="B7" t="s" s="9">
        <v>33</v>
      </c>
      <c r="C7" t="s" s="10">
        <v>49</v>
      </c>
      <c r="D7" t="s" s="10">
        <v>50</v>
      </c>
      <c r="E7" t="s" s="10">
        <v>51</v>
      </c>
      <c r="F7" s="11">
        <v>1560</v>
      </c>
      <c r="G7" t="s" s="10">
        <v>73</v>
      </c>
      <c r="H7" t="s" s="10">
        <v>37</v>
      </c>
      <c r="I7" s="12"/>
      <c r="J7" t="s" s="10">
        <v>38</v>
      </c>
      <c r="K7" s="12"/>
      <c r="L7" s="12"/>
      <c r="M7" s="12"/>
      <c r="N7" s="12"/>
      <c r="O7" t="s" s="10">
        <v>74</v>
      </c>
      <c r="P7" t="s" s="10">
        <v>75</v>
      </c>
      <c r="Q7" t="s" s="10">
        <v>41</v>
      </c>
      <c r="R7" s="11">
        <v>122</v>
      </c>
      <c r="S7" s="12"/>
      <c r="T7" s="12"/>
      <c r="U7" s="12"/>
      <c r="V7" t="s" s="10">
        <v>56</v>
      </c>
      <c r="W7" t="s" s="10">
        <v>42</v>
      </c>
      <c r="X7" t="s" s="10">
        <v>76</v>
      </c>
      <c r="Y7" t="s" s="10">
        <v>44</v>
      </c>
      <c r="Z7" t="s" s="10">
        <v>76</v>
      </c>
      <c r="AA7" t="s" s="10">
        <v>77</v>
      </c>
      <c r="AB7" t="s" s="10">
        <v>77</v>
      </c>
      <c r="AC7" t="s" s="10">
        <v>59</v>
      </c>
      <c r="AD7" t="s" s="10">
        <v>46</v>
      </c>
      <c r="AE7" s="12"/>
    </row>
    <row r="8" ht="20.05" customHeight="1">
      <c r="A8" t="s" s="8">
        <f>"RSL-802"</f>
        <v>78</v>
      </c>
      <c r="B8" t="s" s="9">
        <v>33</v>
      </c>
      <c r="C8" t="s" s="10">
        <v>49</v>
      </c>
      <c r="D8" t="s" s="10">
        <v>50</v>
      </c>
      <c r="E8" t="s" s="10">
        <v>79</v>
      </c>
      <c r="F8" s="11">
        <v>1997</v>
      </c>
      <c r="G8" t="s" s="10">
        <v>80</v>
      </c>
      <c r="H8" t="s" s="10">
        <v>37</v>
      </c>
      <c r="I8" s="12"/>
      <c r="J8" t="s" s="10">
        <v>38</v>
      </c>
      <c r="K8" s="12"/>
      <c r="L8" t="s" s="10">
        <v>81</v>
      </c>
      <c r="M8" t="s" s="10">
        <v>82</v>
      </c>
      <c r="N8" s="12"/>
      <c r="O8" t="s" s="10">
        <v>83</v>
      </c>
      <c r="P8" t="s" s="10">
        <v>84</v>
      </c>
      <c r="Q8" t="s" s="10">
        <v>41</v>
      </c>
      <c r="R8" s="11">
        <v>189</v>
      </c>
      <c r="S8" s="12"/>
      <c r="T8" s="12"/>
      <c r="U8" s="12"/>
      <c r="V8" t="s" s="10">
        <v>56</v>
      </c>
      <c r="W8" t="s" s="10">
        <v>42</v>
      </c>
      <c r="X8" t="s" s="10">
        <v>85</v>
      </c>
      <c r="Y8" t="s" s="10">
        <v>44</v>
      </c>
      <c r="Z8" t="s" s="10">
        <v>86</v>
      </c>
      <c r="AA8" t="s" s="10">
        <v>87</v>
      </c>
      <c r="AB8" t="s" s="10">
        <v>87</v>
      </c>
      <c r="AC8" s="12"/>
      <c r="AD8" t="s" s="10">
        <v>46</v>
      </c>
      <c r="AE8" s="12"/>
    </row>
    <row r="9" ht="20.05" customHeight="1">
      <c r="A9" t="s" s="8">
        <f>"RSL-804"</f>
        <v>88</v>
      </c>
      <c r="B9" t="s" s="9">
        <v>33</v>
      </c>
      <c r="C9" t="s" s="10">
        <v>49</v>
      </c>
      <c r="D9" t="s" s="10">
        <v>50</v>
      </c>
      <c r="E9" t="s" s="10">
        <v>79</v>
      </c>
      <c r="F9" s="11">
        <v>1997</v>
      </c>
      <c r="G9" t="s" s="10">
        <v>89</v>
      </c>
      <c r="H9" t="s" s="10">
        <v>37</v>
      </c>
      <c r="I9" s="12"/>
      <c r="J9" t="s" s="10">
        <v>38</v>
      </c>
      <c r="K9" s="12"/>
      <c r="L9" s="12"/>
      <c r="M9" t="s" s="10">
        <v>82</v>
      </c>
      <c r="N9" s="12"/>
      <c r="O9" t="s" s="10">
        <v>90</v>
      </c>
      <c r="P9" t="s" s="10">
        <v>84</v>
      </c>
      <c r="Q9" t="s" s="10">
        <v>41</v>
      </c>
      <c r="R9" s="11">
        <v>189</v>
      </c>
      <c r="S9" s="12"/>
      <c r="T9" s="12"/>
      <c r="U9" s="12"/>
      <c r="V9" t="s" s="10">
        <v>56</v>
      </c>
      <c r="W9" t="s" s="10">
        <v>42</v>
      </c>
      <c r="X9" t="s" s="10">
        <v>85</v>
      </c>
      <c r="Y9" t="s" s="10">
        <v>44</v>
      </c>
      <c r="Z9" t="s" s="10">
        <v>65</v>
      </c>
      <c r="AA9" t="s" s="10">
        <v>87</v>
      </c>
      <c r="AB9" t="s" s="10">
        <v>87</v>
      </c>
      <c r="AC9" s="12"/>
      <c r="AD9" t="s" s="10">
        <v>46</v>
      </c>
      <c r="AE9" s="12"/>
    </row>
    <row r="10" ht="20.05" customHeight="1">
      <c r="A10" t="s" s="8">
        <f>"MOH-170"</f>
        <v>91</v>
      </c>
      <c r="B10" t="s" s="9">
        <v>48</v>
      </c>
      <c r="C10" t="s" s="10">
        <v>49</v>
      </c>
      <c r="D10" t="s" s="10">
        <v>92</v>
      </c>
      <c r="E10" t="s" s="10">
        <v>93</v>
      </c>
      <c r="F10" s="11">
        <v>1248</v>
      </c>
      <c r="G10" t="s" s="10">
        <v>94</v>
      </c>
      <c r="H10" t="s" s="10">
        <v>37</v>
      </c>
      <c r="I10" s="12"/>
      <c r="J10" t="s" s="10">
        <v>38</v>
      </c>
      <c r="K10" s="12"/>
      <c r="L10" s="12"/>
      <c r="M10" t="s" s="10">
        <v>95</v>
      </c>
      <c r="N10" s="12"/>
      <c r="O10" t="s" s="10">
        <v>96</v>
      </c>
      <c r="P10" t="s" s="10">
        <v>97</v>
      </c>
      <c r="Q10" t="s" s="10">
        <v>41</v>
      </c>
      <c r="R10" s="11">
        <v>109</v>
      </c>
      <c r="S10" s="12"/>
      <c r="T10" s="12"/>
      <c r="U10" s="12"/>
      <c r="V10" t="s" s="10">
        <v>56</v>
      </c>
      <c r="W10" t="s" s="10">
        <v>42</v>
      </c>
      <c r="X10" t="s" s="10">
        <v>98</v>
      </c>
      <c r="Y10" t="s" s="10">
        <v>44</v>
      </c>
      <c r="Z10" t="s" s="10">
        <v>98</v>
      </c>
      <c r="AA10" t="s" s="10">
        <v>98</v>
      </c>
      <c r="AB10" t="s" s="10">
        <v>99</v>
      </c>
      <c r="AC10" t="s" s="10">
        <v>59</v>
      </c>
      <c r="AD10" t="s" s="10">
        <v>46</v>
      </c>
      <c r="AE10" s="12"/>
    </row>
    <row r="11" ht="20.05" customHeight="1">
      <c r="A11" t="s" s="8">
        <f>"GHY-366"</f>
        <v>100</v>
      </c>
      <c r="B11" t="s" s="9">
        <v>33</v>
      </c>
      <c r="C11" t="s" s="10">
        <v>101</v>
      </c>
      <c r="D11" t="s" s="10">
        <v>102</v>
      </c>
      <c r="E11" t="s" s="10">
        <v>103</v>
      </c>
      <c r="F11" s="11">
        <v>1560</v>
      </c>
      <c r="G11" t="s" s="10">
        <v>104</v>
      </c>
      <c r="H11" t="s" s="10">
        <v>37</v>
      </c>
      <c r="I11" s="12"/>
      <c r="J11" t="s" s="10">
        <v>38</v>
      </c>
      <c r="K11" s="12"/>
      <c r="L11" t="s" s="10">
        <v>105</v>
      </c>
      <c r="M11" s="12"/>
      <c r="N11" s="12"/>
      <c r="O11" t="s" s="10">
        <v>106</v>
      </c>
      <c r="P11" t="s" s="10">
        <v>107</v>
      </c>
      <c r="Q11" t="s" s="10">
        <v>41</v>
      </c>
      <c r="R11" s="11">
        <v>118</v>
      </c>
      <c r="S11" s="12"/>
      <c r="T11" s="12"/>
      <c r="U11" s="12"/>
      <c r="V11" t="s" s="10">
        <v>56</v>
      </c>
      <c r="W11" t="s" s="10">
        <v>42</v>
      </c>
      <c r="X11" t="s" s="10">
        <v>108</v>
      </c>
      <c r="Y11" t="s" s="10">
        <v>44</v>
      </c>
      <c r="Z11" t="s" s="10">
        <v>109</v>
      </c>
      <c r="AA11" t="s" s="10">
        <v>110</v>
      </c>
      <c r="AB11" t="s" s="10">
        <v>110</v>
      </c>
      <c r="AC11" s="12"/>
      <c r="AD11" t="s" s="10">
        <v>46</v>
      </c>
      <c r="AE11" s="12"/>
    </row>
    <row r="12" ht="20.05" customHeight="1">
      <c r="A12" t="s" s="8">
        <f>"FNK-418"</f>
        <v>111</v>
      </c>
      <c r="B12" t="s" s="9">
        <v>48</v>
      </c>
      <c r="C12" t="s" s="10">
        <v>101</v>
      </c>
      <c r="D12" t="s" s="10">
        <v>102</v>
      </c>
      <c r="E12" t="s" s="10">
        <v>112</v>
      </c>
      <c r="F12" s="11">
        <v>1388</v>
      </c>
      <c r="G12" t="s" s="10">
        <v>113</v>
      </c>
      <c r="H12" t="s" s="10">
        <v>37</v>
      </c>
      <c r="I12" s="12"/>
      <c r="J12" t="s" s="10">
        <v>38</v>
      </c>
      <c r="K12" s="12"/>
      <c r="L12" s="12"/>
      <c r="M12" t="s" s="10">
        <v>53</v>
      </c>
      <c r="N12" s="12"/>
      <c r="O12" t="s" s="10">
        <v>114</v>
      </c>
      <c r="P12" t="s" s="10">
        <v>115</v>
      </c>
      <c r="Q12" t="s" s="10">
        <v>41</v>
      </c>
      <c r="R12" s="11">
        <v>147</v>
      </c>
      <c r="S12" s="12"/>
      <c r="T12" s="12"/>
      <c r="U12" s="12"/>
      <c r="V12" t="s" s="10">
        <v>116</v>
      </c>
      <c r="W12" t="s" s="10">
        <v>42</v>
      </c>
      <c r="X12" t="s" s="10">
        <v>117</v>
      </c>
      <c r="Y12" t="s" s="10">
        <v>44</v>
      </c>
      <c r="Z12" t="s" s="10">
        <v>117</v>
      </c>
      <c r="AA12" t="s" s="10">
        <v>118</v>
      </c>
      <c r="AB12" t="s" s="10">
        <v>119</v>
      </c>
      <c r="AC12" t="s" s="10">
        <v>120</v>
      </c>
      <c r="AD12" t="s" s="10">
        <v>46</v>
      </c>
      <c r="AE12" s="12"/>
    </row>
    <row r="13" ht="20.05" customHeight="1">
      <c r="A13" t="s" s="8">
        <f>"VTM-238"</f>
        <v>121</v>
      </c>
      <c r="B13" t="s" s="9">
        <v>48</v>
      </c>
      <c r="C13" t="s" s="10">
        <v>122</v>
      </c>
      <c r="D13" t="s" s="10">
        <v>123</v>
      </c>
      <c r="E13" t="s" s="10">
        <v>124</v>
      </c>
      <c r="F13" s="11">
        <v>5950</v>
      </c>
      <c r="G13" s="11">
        <v>67402315097375</v>
      </c>
      <c r="H13" t="s" s="10">
        <v>37</v>
      </c>
      <c r="I13" s="12"/>
      <c r="J13" t="s" s="10">
        <v>38</v>
      </c>
      <c r="K13" s="12"/>
      <c r="L13" s="12"/>
      <c r="M13" t="s" s="10">
        <v>53</v>
      </c>
      <c r="N13" s="12"/>
      <c r="O13" t="s" s="10">
        <v>125</v>
      </c>
      <c r="P13" t="s" s="10">
        <v>126</v>
      </c>
      <c r="Q13" t="s" s="10">
        <v>41</v>
      </c>
      <c r="R13" s="12"/>
      <c r="S13" s="12"/>
      <c r="T13" s="12"/>
      <c r="U13" s="12"/>
      <c r="V13" t="s" s="10">
        <v>56</v>
      </c>
      <c r="W13" t="s" s="10">
        <v>42</v>
      </c>
      <c r="X13" t="s" s="10">
        <v>127</v>
      </c>
      <c r="Y13" t="s" s="10">
        <v>44</v>
      </c>
      <c r="Z13" t="s" s="10">
        <v>127</v>
      </c>
      <c r="AA13" s="12"/>
      <c r="AB13" s="12"/>
      <c r="AC13" s="12"/>
      <c r="AD13" t="s" s="10">
        <v>46</v>
      </c>
      <c r="AE13" s="12"/>
    </row>
    <row r="14" ht="20.05" customHeight="1">
      <c r="A14" t="s" s="8">
        <f>"AKI-975"</f>
        <v>128</v>
      </c>
      <c r="B14" t="s" s="9">
        <v>48</v>
      </c>
      <c r="C14" t="s" s="10">
        <v>49</v>
      </c>
      <c r="D14" t="s" s="10">
        <v>123</v>
      </c>
      <c r="E14" t="s" s="10">
        <v>129</v>
      </c>
      <c r="F14" s="11">
        <v>2140</v>
      </c>
      <c r="G14" t="s" s="10">
        <v>130</v>
      </c>
      <c r="H14" t="s" s="10">
        <v>37</v>
      </c>
      <c r="I14" s="12"/>
      <c r="J14" t="s" s="10">
        <v>38</v>
      </c>
      <c r="K14" s="12"/>
      <c r="L14" s="12"/>
      <c r="M14" t="s" s="10">
        <v>95</v>
      </c>
      <c r="N14" s="12"/>
      <c r="O14" t="s" s="10">
        <v>131</v>
      </c>
      <c r="P14" t="s" s="10">
        <v>132</v>
      </c>
      <c r="Q14" t="s" s="10">
        <v>41</v>
      </c>
      <c r="R14" s="12"/>
      <c r="S14" s="12"/>
      <c r="T14" s="12"/>
      <c r="U14" s="12"/>
      <c r="V14" t="s" s="10">
        <v>56</v>
      </c>
      <c r="W14" t="s" s="10">
        <v>133</v>
      </c>
      <c r="X14" t="s" s="10">
        <v>134</v>
      </c>
      <c r="Y14" t="s" s="10">
        <v>44</v>
      </c>
      <c r="Z14" t="s" s="10">
        <v>135</v>
      </c>
      <c r="AA14" t="s" s="10">
        <v>136</v>
      </c>
      <c r="AB14" t="s" s="10">
        <v>136</v>
      </c>
      <c r="AC14" s="12"/>
      <c r="AD14" t="s" s="10">
        <v>46</v>
      </c>
      <c r="AE14" s="12"/>
    </row>
    <row r="15" ht="20.05" customHeight="1">
      <c r="A15" t="s" s="8">
        <f>"KLX-855"</f>
        <v>137</v>
      </c>
      <c r="B15" t="s" s="9">
        <v>33</v>
      </c>
      <c r="C15" t="s" s="10">
        <v>138</v>
      </c>
      <c r="D15" t="s" s="10">
        <v>123</v>
      </c>
      <c r="E15" t="s" s="10">
        <v>139</v>
      </c>
      <c r="F15" s="11">
        <v>2143</v>
      </c>
      <c r="G15" t="s" s="10">
        <v>140</v>
      </c>
      <c r="H15" t="s" s="10">
        <v>37</v>
      </c>
      <c r="I15" s="12"/>
      <c r="J15" t="s" s="10">
        <v>38</v>
      </c>
      <c r="K15" s="12"/>
      <c r="L15" s="12"/>
      <c r="M15" s="12"/>
      <c r="N15" s="12"/>
      <c r="O15" t="s" s="10">
        <v>141</v>
      </c>
      <c r="P15" t="s" s="10">
        <v>142</v>
      </c>
      <c r="Q15" t="s" s="10">
        <v>41</v>
      </c>
      <c r="R15" s="12"/>
      <c r="S15" s="12"/>
      <c r="T15" s="12"/>
      <c r="U15" s="12"/>
      <c r="V15" t="s" s="10">
        <v>56</v>
      </c>
      <c r="W15" t="s" s="10">
        <v>133</v>
      </c>
      <c r="X15" t="s" s="10">
        <v>143</v>
      </c>
      <c r="Y15" t="s" s="10">
        <v>44</v>
      </c>
      <c r="Z15" t="s" s="10">
        <v>144</v>
      </c>
      <c r="AA15" t="s" s="10">
        <v>145</v>
      </c>
      <c r="AB15" t="s" s="10">
        <v>145</v>
      </c>
      <c r="AC15" s="12"/>
      <c r="AD15" t="s" s="10">
        <v>46</v>
      </c>
      <c r="AE15" s="12"/>
    </row>
    <row r="16" ht="20.05" customHeight="1">
      <c r="A16" t="s" s="8">
        <f t="shared" si="13" ref="A16:A63">"ERY-401"</f>
        <v>146</v>
      </c>
      <c r="B16" t="s" s="9">
        <v>33</v>
      </c>
      <c r="C16" t="s" s="10">
        <v>49</v>
      </c>
      <c r="D16" t="s" s="10">
        <v>123</v>
      </c>
      <c r="E16" t="s" s="10">
        <v>147</v>
      </c>
      <c r="F16" s="11">
        <v>2143</v>
      </c>
      <c r="G16" t="s" s="10">
        <v>148</v>
      </c>
      <c r="H16" t="s" s="10">
        <v>37</v>
      </c>
      <c r="I16" s="12"/>
      <c r="J16" t="s" s="10">
        <v>38</v>
      </c>
      <c r="K16" s="12"/>
      <c r="L16" t="s" s="10">
        <v>149</v>
      </c>
      <c r="M16" t="s" s="10">
        <v>82</v>
      </c>
      <c r="N16" s="12"/>
      <c r="O16" t="s" s="10">
        <v>150</v>
      </c>
      <c r="P16" t="s" s="10">
        <v>151</v>
      </c>
      <c r="Q16" t="s" s="10">
        <v>41</v>
      </c>
      <c r="R16" s="11">
        <v>211</v>
      </c>
      <c r="S16" s="12"/>
      <c r="T16" s="12"/>
      <c r="U16" s="12"/>
      <c r="V16" t="s" s="10">
        <v>56</v>
      </c>
      <c r="W16" t="s" s="10">
        <v>42</v>
      </c>
      <c r="X16" t="s" s="10">
        <v>152</v>
      </c>
      <c r="Y16" t="s" s="10">
        <v>44</v>
      </c>
      <c r="Z16" t="s" s="10">
        <v>152</v>
      </c>
      <c r="AA16" t="s" s="10">
        <v>153</v>
      </c>
      <c r="AB16" t="s" s="10">
        <v>153</v>
      </c>
      <c r="AC16" t="s" s="10">
        <v>59</v>
      </c>
      <c r="AD16" t="s" s="10">
        <v>46</v>
      </c>
      <c r="AE16" s="12"/>
    </row>
    <row r="17" ht="20.05" customHeight="1">
      <c r="A17" t="s" s="8">
        <f>"YJE-740"</f>
        <v>154</v>
      </c>
      <c r="B17" t="s" s="9">
        <v>33</v>
      </c>
      <c r="C17" t="s" s="10">
        <v>101</v>
      </c>
      <c r="D17" t="s" s="10">
        <v>123</v>
      </c>
      <c r="E17" t="s" s="10">
        <v>155</v>
      </c>
      <c r="F17" s="11">
        <v>2143</v>
      </c>
      <c r="G17" t="s" s="10">
        <v>156</v>
      </c>
      <c r="H17" t="s" s="10">
        <v>37</v>
      </c>
      <c r="I17" s="12"/>
      <c r="J17" t="s" s="10">
        <v>157</v>
      </c>
      <c r="K17" t="s" s="10">
        <v>158</v>
      </c>
      <c r="L17" t="s" s="10">
        <v>159</v>
      </c>
      <c r="M17" t="s" s="10">
        <v>82</v>
      </c>
      <c r="N17" s="12"/>
      <c r="O17" t="s" s="10">
        <v>160</v>
      </c>
      <c r="P17" t="s" s="10">
        <v>161</v>
      </c>
      <c r="Q17" t="s" s="10">
        <v>41</v>
      </c>
      <c r="R17" s="11">
        <v>188</v>
      </c>
      <c r="S17" s="12"/>
      <c r="T17" s="12"/>
      <c r="U17" s="12"/>
      <c r="V17" t="s" s="10">
        <v>56</v>
      </c>
      <c r="W17" t="s" s="10">
        <v>133</v>
      </c>
      <c r="X17" t="s" s="10">
        <v>162</v>
      </c>
      <c r="Y17" t="s" s="10">
        <v>44</v>
      </c>
      <c r="Z17" t="s" s="10">
        <v>163</v>
      </c>
      <c r="AA17" t="s" s="10">
        <v>164</v>
      </c>
      <c r="AB17" t="s" s="10">
        <v>164</v>
      </c>
      <c r="AC17" s="12"/>
      <c r="AD17" t="s" s="10">
        <v>46</v>
      </c>
      <c r="AE17" s="12"/>
    </row>
    <row r="18" ht="20.05" customHeight="1">
      <c r="A18" t="s" s="8">
        <f>"CLG-114"</f>
        <v>165</v>
      </c>
      <c r="B18" t="s" s="9">
        <v>33</v>
      </c>
      <c r="C18" t="s" s="10">
        <v>138</v>
      </c>
      <c r="D18" t="s" s="10">
        <v>123</v>
      </c>
      <c r="E18" t="s" s="10">
        <v>166</v>
      </c>
      <c r="F18" s="11">
        <v>2987</v>
      </c>
      <c r="G18" t="s" s="10">
        <v>167</v>
      </c>
      <c r="H18" t="s" s="10">
        <v>37</v>
      </c>
      <c r="I18" s="12"/>
      <c r="J18" t="s" s="10">
        <v>157</v>
      </c>
      <c r="K18" t="s" s="10">
        <v>158</v>
      </c>
      <c r="L18" t="s" s="10">
        <v>159</v>
      </c>
      <c r="M18" s="12"/>
      <c r="N18" s="12"/>
      <c r="O18" t="s" s="10">
        <v>168</v>
      </c>
      <c r="P18" t="s" s="10">
        <v>169</v>
      </c>
      <c r="Q18" t="s" s="10">
        <v>41</v>
      </c>
      <c r="R18" s="12"/>
      <c r="S18" s="12"/>
      <c r="T18" s="12"/>
      <c r="U18" s="12"/>
      <c r="V18" t="s" s="10">
        <v>56</v>
      </c>
      <c r="W18" t="s" s="10">
        <v>133</v>
      </c>
      <c r="X18" t="s" s="10">
        <v>170</v>
      </c>
      <c r="Y18" t="s" s="10">
        <v>44</v>
      </c>
      <c r="Z18" t="s" s="10">
        <v>170</v>
      </c>
      <c r="AA18" t="s" s="10">
        <v>171</v>
      </c>
      <c r="AB18" t="s" s="10">
        <v>171</v>
      </c>
      <c r="AC18" t="s" s="10">
        <v>172</v>
      </c>
      <c r="AD18" t="s" s="10">
        <v>46</v>
      </c>
      <c r="AE18" s="12"/>
    </row>
    <row r="19" ht="20.05" customHeight="1">
      <c r="A19" t="s" s="8">
        <f>"EUX-886"</f>
        <v>173</v>
      </c>
      <c r="B19" t="s" s="9">
        <v>33</v>
      </c>
      <c r="C19" t="s" s="10">
        <v>101</v>
      </c>
      <c r="D19" t="s" s="10">
        <v>123</v>
      </c>
      <c r="E19" t="s" s="10">
        <v>174</v>
      </c>
      <c r="F19" s="11">
        <v>1950</v>
      </c>
      <c r="G19" t="s" s="10">
        <v>175</v>
      </c>
      <c r="H19" t="s" s="10">
        <v>37</v>
      </c>
      <c r="I19" s="12"/>
      <c r="J19" t="s" s="10">
        <v>157</v>
      </c>
      <c r="K19" t="s" s="10">
        <v>158</v>
      </c>
      <c r="L19" t="s" s="10">
        <v>159</v>
      </c>
      <c r="M19" s="12"/>
      <c r="N19" s="12"/>
      <c r="O19" t="s" s="10">
        <v>176</v>
      </c>
      <c r="P19" t="s" s="10">
        <v>177</v>
      </c>
      <c r="Q19" t="s" s="10">
        <v>41</v>
      </c>
      <c r="R19" s="12"/>
      <c r="S19" s="11">
        <v>44</v>
      </c>
      <c r="T19" s="12"/>
      <c r="U19" s="11">
        <v>42</v>
      </c>
      <c r="V19" t="s" s="10">
        <v>56</v>
      </c>
      <c r="W19" t="s" s="10">
        <v>133</v>
      </c>
      <c r="X19" t="s" s="10">
        <v>178</v>
      </c>
      <c r="Y19" t="s" s="10">
        <v>44</v>
      </c>
      <c r="Z19" t="s" s="10">
        <v>178</v>
      </c>
      <c r="AA19" t="s" s="10">
        <v>179</v>
      </c>
      <c r="AB19" t="s" s="10">
        <v>180</v>
      </c>
      <c r="AC19" t="s" s="10">
        <v>181</v>
      </c>
      <c r="AD19" t="s" s="10">
        <v>46</v>
      </c>
      <c r="AE19" t="s" s="10">
        <v>182</v>
      </c>
    </row>
    <row r="20" ht="20.05" customHeight="1">
      <c r="A20" t="s" s="8">
        <f>"RVP-357"</f>
        <v>183</v>
      </c>
      <c r="B20" t="s" s="9">
        <v>33</v>
      </c>
      <c r="C20" t="s" s="10">
        <v>101</v>
      </c>
      <c r="D20" t="s" s="10">
        <v>123</v>
      </c>
      <c r="E20" t="s" s="10">
        <v>174</v>
      </c>
      <c r="F20" s="11">
        <v>1950</v>
      </c>
      <c r="G20" t="s" s="10">
        <v>184</v>
      </c>
      <c r="H20" t="s" s="10">
        <v>37</v>
      </c>
      <c r="I20" s="12"/>
      <c r="J20" t="s" s="10">
        <v>157</v>
      </c>
      <c r="K20" t="s" s="10">
        <v>158</v>
      </c>
      <c r="L20" t="s" s="10">
        <v>159</v>
      </c>
      <c r="M20" s="12"/>
      <c r="N20" s="12"/>
      <c r="O20" t="s" s="10">
        <v>185</v>
      </c>
      <c r="P20" t="s" s="10">
        <v>186</v>
      </c>
      <c r="Q20" t="s" s="10">
        <v>41</v>
      </c>
      <c r="R20" s="12"/>
      <c r="S20" s="11">
        <v>42</v>
      </c>
      <c r="T20" s="12"/>
      <c r="U20" s="11">
        <v>41</v>
      </c>
      <c r="V20" t="s" s="10">
        <v>56</v>
      </c>
      <c r="W20" t="s" s="10">
        <v>133</v>
      </c>
      <c r="X20" t="s" s="10">
        <v>187</v>
      </c>
      <c r="Y20" t="s" s="10">
        <v>44</v>
      </c>
      <c r="Z20" t="s" s="10">
        <v>187</v>
      </c>
      <c r="AA20" t="s" s="10">
        <v>188</v>
      </c>
      <c r="AB20" t="s" s="10">
        <v>189</v>
      </c>
      <c r="AC20" t="s" s="10">
        <v>181</v>
      </c>
      <c r="AD20" t="s" s="10">
        <v>46</v>
      </c>
      <c r="AE20" t="s" s="10">
        <v>182</v>
      </c>
    </row>
    <row r="21" ht="20.05" customHeight="1">
      <c r="A21" t="s" s="8">
        <f>"FSH-363"</f>
        <v>190</v>
      </c>
      <c r="B21" t="s" s="9">
        <v>33</v>
      </c>
      <c r="C21" t="s" s="10">
        <v>191</v>
      </c>
      <c r="D21" t="s" s="10">
        <v>192</v>
      </c>
      <c r="E21" t="s" s="10">
        <v>193</v>
      </c>
      <c r="F21" s="11">
        <v>2998</v>
      </c>
      <c r="G21" t="s" s="10">
        <v>194</v>
      </c>
      <c r="H21" t="s" s="10">
        <v>37</v>
      </c>
      <c r="I21" s="12"/>
      <c r="J21" t="s" s="10">
        <v>38</v>
      </c>
      <c r="K21" s="12"/>
      <c r="L21" s="12"/>
      <c r="M21" s="12"/>
      <c r="N21" s="12"/>
      <c r="O21" t="s" s="10">
        <v>106</v>
      </c>
      <c r="P21" t="s" s="10">
        <v>195</v>
      </c>
      <c r="Q21" t="s" s="10">
        <v>41</v>
      </c>
      <c r="R21" s="12"/>
      <c r="S21" s="12"/>
      <c r="T21" s="12"/>
      <c r="U21" s="12"/>
      <c r="V21" t="s" s="10">
        <v>56</v>
      </c>
      <c r="W21" t="s" s="10">
        <v>42</v>
      </c>
      <c r="X21" t="s" s="10">
        <v>185</v>
      </c>
      <c r="Y21" t="s" s="10">
        <v>44</v>
      </c>
      <c r="Z21" t="s" s="10">
        <v>185</v>
      </c>
      <c r="AA21" t="s" s="10">
        <v>196</v>
      </c>
      <c r="AB21" t="s" s="10">
        <v>197</v>
      </c>
      <c r="AC21" t="s" s="10">
        <v>198</v>
      </c>
      <c r="AD21" t="s" s="10">
        <v>46</v>
      </c>
      <c r="AE21" s="12"/>
    </row>
    <row r="22" ht="20.05" customHeight="1">
      <c r="A22" t="s" s="8">
        <f>"SNB-741"</f>
        <v>199</v>
      </c>
      <c r="B22" t="s" s="9">
        <v>33</v>
      </c>
      <c r="C22" t="s" s="10">
        <v>101</v>
      </c>
      <c r="D22" t="s" s="10">
        <v>200</v>
      </c>
      <c r="E22" t="s" s="10">
        <v>201</v>
      </c>
      <c r="F22" s="11">
        <v>1362</v>
      </c>
      <c r="G22" t="s" s="10">
        <v>202</v>
      </c>
      <c r="H22" t="s" s="10">
        <v>37</v>
      </c>
      <c r="I22" s="12"/>
      <c r="J22" t="s" s="10">
        <v>38</v>
      </c>
      <c r="K22" s="12"/>
      <c r="L22" t="s" s="10">
        <v>203</v>
      </c>
      <c r="M22" s="12"/>
      <c r="N22" s="12"/>
      <c r="O22" t="s" s="10">
        <v>204</v>
      </c>
      <c r="P22" t="s" s="10">
        <v>205</v>
      </c>
      <c r="Q22" t="s" s="10">
        <v>41</v>
      </c>
      <c r="R22" s="11">
        <v>144</v>
      </c>
      <c r="S22" s="12"/>
      <c r="T22" s="12"/>
      <c r="U22" s="12"/>
      <c r="V22" t="s" s="10">
        <v>116</v>
      </c>
      <c r="W22" t="s" s="10">
        <v>42</v>
      </c>
      <c r="X22" t="s" s="10">
        <v>206</v>
      </c>
      <c r="Y22" t="s" s="10">
        <v>207</v>
      </c>
      <c r="Z22" t="s" s="10">
        <v>206</v>
      </c>
      <c r="AA22" t="s" s="10">
        <v>208</v>
      </c>
      <c r="AB22" t="s" s="10">
        <v>208</v>
      </c>
      <c r="AC22" s="12"/>
      <c r="AD22" t="s" s="10">
        <v>46</v>
      </c>
      <c r="AE22" s="12"/>
    </row>
    <row r="23" ht="20.05" customHeight="1">
      <c r="A23" t="s" s="8">
        <f>"EML-279"</f>
        <v>209</v>
      </c>
      <c r="B23" t="s" s="9">
        <v>33</v>
      </c>
      <c r="C23" t="s" s="10">
        <v>49</v>
      </c>
      <c r="D23" t="s" s="10">
        <v>210</v>
      </c>
      <c r="E23" t="s" s="10">
        <v>211</v>
      </c>
      <c r="F23" s="11">
        <v>1560</v>
      </c>
      <c r="G23" t="s" s="10">
        <v>212</v>
      </c>
      <c r="H23" t="s" s="10">
        <v>37</v>
      </c>
      <c r="I23" s="12"/>
      <c r="J23" t="s" s="10">
        <v>38</v>
      </c>
      <c r="K23" s="12"/>
      <c r="L23" s="12"/>
      <c r="M23" s="12"/>
      <c r="N23" s="12"/>
      <c r="O23" t="s" s="10">
        <v>213</v>
      </c>
      <c r="P23" t="s" s="10">
        <v>214</v>
      </c>
      <c r="Q23" t="s" s="10">
        <v>41</v>
      </c>
      <c r="R23" s="11">
        <v>122</v>
      </c>
      <c r="S23" s="12"/>
      <c r="T23" s="12"/>
      <c r="U23" s="12"/>
      <c r="V23" t="s" s="10">
        <v>56</v>
      </c>
      <c r="W23" t="s" s="10">
        <v>42</v>
      </c>
      <c r="X23" t="s" s="10">
        <v>215</v>
      </c>
      <c r="Y23" t="s" s="10">
        <v>44</v>
      </c>
      <c r="Z23" t="s" s="10">
        <v>216</v>
      </c>
      <c r="AA23" t="s" s="10">
        <v>217</v>
      </c>
      <c r="AB23" t="s" s="10">
        <v>217</v>
      </c>
      <c r="AC23" t="s" s="10">
        <v>59</v>
      </c>
      <c r="AD23" t="s" s="10">
        <v>46</v>
      </c>
      <c r="AE23" s="12"/>
    </row>
    <row r="24" ht="20.05" customHeight="1">
      <c r="A24" t="s" s="8">
        <f>"GOZ-338"</f>
        <v>218</v>
      </c>
      <c r="B24" t="s" s="9">
        <v>33</v>
      </c>
      <c r="C24" t="s" s="10">
        <v>49</v>
      </c>
      <c r="D24" t="s" s="10">
        <v>219</v>
      </c>
      <c r="E24" t="s" s="10">
        <v>220</v>
      </c>
      <c r="F24" s="11">
        <v>1197</v>
      </c>
      <c r="G24" t="s" s="10">
        <v>221</v>
      </c>
      <c r="H24" t="s" s="10">
        <v>37</v>
      </c>
      <c r="I24" s="12"/>
      <c r="J24" t="s" s="10">
        <v>38</v>
      </c>
      <c r="K24" s="12"/>
      <c r="L24" s="12"/>
      <c r="M24" t="s" s="10">
        <v>82</v>
      </c>
      <c r="N24" s="12"/>
      <c r="O24" t="s" s="10">
        <v>222</v>
      </c>
      <c r="P24" t="s" s="10">
        <v>223</v>
      </c>
      <c r="Q24" t="s" s="10">
        <v>41</v>
      </c>
      <c r="R24" s="11">
        <v>144</v>
      </c>
      <c r="S24" s="12"/>
      <c r="T24" s="12"/>
      <c r="U24" s="12"/>
      <c r="V24" t="s" s="10">
        <v>116</v>
      </c>
      <c r="W24" t="s" s="10">
        <v>42</v>
      </c>
      <c r="X24" t="s" s="10">
        <v>135</v>
      </c>
      <c r="Y24" t="s" s="10">
        <v>44</v>
      </c>
      <c r="Z24" t="s" s="10">
        <v>224</v>
      </c>
      <c r="AA24" t="s" s="10">
        <v>135</v>
      </c>
      <c r="AB24" t="s" s="10">
        <v>225</v>
      </c>
      <c r="AC24" t="s" s="10">
        <v>181</v>
      </c>
      <c r="AD24" t="s" s="10">
        <v>46</v>
      </c>
      <c r="AE24" s="12"/>
    </row>
    <row r="25" ht="20.05" customHeight="1">
      <c r="A25" t="s" s="8">
        <f>"GOZ-336"</f>
        <v>226</v>
      </c>
      <c r="B25" t="s" s="9">
        <v>33</v>
      </c>
      <c r="C25" t="s" s="10">
        <v>49</v>
      </c>
      <c r="D25" t="s" s="10">
        <v>219</v>
      </c>
      <c r="E25" t="s" s="10">
        <v>220</v>
      </c>
      <c r="F25" s="11">
        <v>1598</v>
      </c>
      <c r="G25" t="s" s="10">
        <v>227</v>
      </c>
      <c r="H25" t="s" s="10">
        <v>37</v>
      </c>
      <c r="I25" s="12"/>
      <c r="J25" t="s" s="10">
        <v>38</v>
      </c>
      <c r="K25" s="12"/>
      <c r="L25" s="12"/>
      <c r="M25" t="s" s="10">
        <v>82</v>
      </c>
      <c r="N25" s="12"/>
      <c r="O25" t="s" s="10">
        <v>222</v>
      </c>
      <c r="P25" t="s" s="10">
        <v>228</v>
      </c>
      <c r="Q25" t="s" s="10">
        <v>41</v>
      </c>
      <c r="R25" s="11">
        <v>190</v>
      </c>
      <c r="S25" s="12"/>
      <c r="T25" s="12"/>
      <c r="U25" s="12"/>
      <c r="V25" t="s" s="10">
        <v>116</v>
      </c>
      <c r="W25" t="s" s="10">
        <v>42</v>
      </c>
      <c r="X25" t="s" s="10">
        <v>135</v>
      </c>
      <c r="Y25" t="s" s="10">
        <v>44</v>
      </c>
      <c r="Z25" t="s" s="10">
        <v>224</v>
      </c>
      <c r="AA25" t="s" s="10">
        <v>135</v>
      </c>
      <c r="AB25" t="s" s="10">
        <v>229</v>
      </c>
      <c r="AC25" t="s" s="10">
        <v>59</v>
      </c>
      <c r="AD25" t="s" s="10">
        <v>46</v>
      </c>
      <c r="AE25" s="12"/>
    </row>
    <row r="26" ht="20.05" customHeight="1">
      <c r="A26" t="s" s="8">
        <f>"GOZ-339"</f>
        <v>230</v>
      </c>
      <c r="B26" t="s" s="9">
        <v>33</v>
      </c>
      <c r="C26" t="s" s="10">
        <v>49</v>
      </c>
      <c r="D26" t="s" s="10">
        <v>219</v>
      </c>
      <c r="E26" t="s" s="10">
        <v>231</v>
      </c>
      <c r="F26" s="11">
        <v>1197</v>
      </c>
      <c r="G26" t="s" s="10">
        <v>232</v>
      </c>
      <c r="H26" t="s" s="10">
        <v>37</v>
      </c>
      <c r="I26" s="12"/>
      <c r="J26" t="s" s="10">
        <v>38</v>
      </c>
      <c r="K26" s="12"/>
      <c r="L26" s="12"/>
      <c r="M26" t="s" s="10">
        <v>233</v>
      </c>
      <c r="N26" s="12"/>
      <c r="O26" t="s" s="10">
        <v>234</v>
      </c>
      <c r="P26" t="s" s="10">
        <v>235</v>
      </c>
      <c r="Q26" t="s" s="10">
        <v>41</v>
      </c>
      <c r="R26" s="11">
        <v>144</v>
      </c>
      <c r="S26" s="12"/>
      <c r="T26" s="12"/>
      <c r="U26" s="12"/>
      <c r="V26" t="s" s="10">
        <v>116</v>
      </c>
      <c r="W26" t="s" s="10">
        <v>42</v>
      </c>
      <c r="X26" t="s" s="10">
        <v>135</v>
      </c>
      <c r="Y26" t="s" s="10">
        <v>44</v>
      </c>
      <c r="Z26" t="s" s="10">
        <v>224</v>
      </c>
      <c r="AA26" t="s" s="10">
        <v>135</v>
      </c>
      <c r="AB26" t="s" s="10">
        <v>236</v>
      </c>
      <c r="AC26" t="s" s="10">
        <v>181</v>
      </c>
      <c r="AD26" t="s" s="10">
        <v>46</v>
      </c>
      <c r="AE26" s="12"/>
    </row>
    <row r="27" ht="20.05" customHeight="1">
      <c r="A27" t="s" s="8">
        <f>"GOZ-337"</f>
        <v>237</v>
      </c>
      <c r="B27" t="s" s="9">
        <v>33</v>
      </c>
      <c r="C27" t="s" s="10">
        <v>49</v>
      </c>
      <c r="D27" t="s" s="10">
        <v>219</v>
      </c>
      <c r="E27" t="s" s="10">
        <v>238</v>
      </c>
      <c r="F27" s="11">
        <v>1197</v>
      </c>
      <c r="G27" t="s" s="10">
        <v>239</v>
      </c>
      <c r="H27" t="s" s="10">
        <v>37</v>
      </c>
      <c r="I27" s="12"/>
      <c r="J27" t="s" s="10">
        <v>38</v>
      </c>
      <c r="K27" s="12"/>
      <c r="L27" s="12"/>
      <c r="M27" t="s" s="10">
        <v>233</v>
      </c>
      <c r="N27" s="12"/>
      <c r="O27" t="s" s="10">
        <v>240</v>
      </c>
      <c r="P27" t="s" s="10">
        <v>160</v>
      </c>
      <c r="Q27" t="s" s="10">
        <v>41</v>
      </c>
      <c r="R27" s="11">
        <v>144</v>
      </c>
      <c r="S27" s="12"/>
      <c r="T27" s="12"/>
      <c r="U27" s="12"/>
      <c r="V27" t="s" s="10">
        <v>116</v>
      </c>
      <c r="W27" t="s" s="10">
        <v>42</v>
      </c>
      <c r="X27" t="s" s="10">
        <v>135</v>
      </c>
      <c r="Y27" t="s" s="10">
        <v>44</v>
      </c>
      <c r="Z27" t="s" s="10">
        <v>224</v>
      </c>
      <c r="AA27" t="s" s="10">
        <v>135</v>
      </c>
      <c r="AB27" t="s" s="10">
        <v>241</v>
      </c>
      <c r="AC27" t="s" s="10">
        <v>181</v>
      </c>
      <c r="AD27" t="s" s="10">
        <v>46</v>
      </c>
      <c r="AE27" s="12"/>
    </row>
    <row r="28" ht="20.05" customHeight="1">
      <c r="A28" t="s" s="8">
        <f t="shared" si="25" ref="A28:A65">"ENY-134"</f>
        <v>242</v>
      </c>
      <c r="B28" t="s" s="9">
        <v>33</v>
      </c>
      <c r="C28" t="s" s="10">
        <v>49</v>
      </c>
      <c r="D28" t="s" s="10">
        <v>243</v>
      </c>
      <c r="E28" t="s" s="10">
        <v>244</v>
      </c>
      <c r="F28" s="11">
        <v>1197</v>
      </c>
      <c r="G28" t="s" s="10">
        <v>245</v>
      </c>
      <c r="H28" t="s" s="10">
        <v>37</v>
      </c>
      <c r="I28" s="12"/>
      <c r="J28" t="s" s="10">
        <v>38</v>
      </c>
      <c r="K28" s="12"/>
      <c r="L28" t="s" s="10">
        <v>149</v>
      </c>
      <c r="M28" s="12"/>
      <c r="N28" s="12"/>
      <c r="O28" t="s" s="10">
        <v>246</v>
      </c>
      <c r="P28" t="s" s="10">
        <v>247</v>
      </c>
      <c r="Q28" t="s" s="10">
        <v>41</v>
      </c>
      <c r="R28" s="11">
        <v>149</v>
      </c>
      <c r="S28" s="12"/>
      <c r="T28" s="12"/>
      <c r="U28" s="12"/>
      <c r="V28" t="s" s="10">
        <v>116</v>
      </c>
      <c r="W28" t="s" s="10">
        <v>42</v>
      </c>
      <c r="X28" t="s" s="10">
        <v>152</v>
      </c>
      <c r="Y28" t="s" s="10">
        <v>44</v>
      </c>
      <c r="Z28" t="s" s="10">
        <v>152</v>
      </c>
      <c r="AA28" t="s" s="10">
        <v>248</v>
      </c>
      <c r="AB28" t="s" s="10">
        <v>248</v>
      </c>
      <c r="AC28" t="s" s="10">
        <v>59</v>
      </c>
      <c r="AD28" t="s" s="10">
        <v>46</v>
      </c>
      <c r="AE28" s="12"/>
    </row>
    <row r="29" ht="20.05" customHeight="1">
      <c r="A29" t="s" s="8">
        <f>"XXY-383"</f>
        <v>249</v>
      </c>
      <c r="B29" t="s" s="9">
        <v>33</v>
      </c>
      <c r="C29" t="s" s="10">
        <v>49</v>
      </c>
      <c r="D29" t="s" s="10">
        <v>243</v>
      </c>
      <c r="E29" t="s" s="10">
        <v>244</v>
      </c>
      <c r="F29" s="11">
        <v>1197</v>
      </c>
      <c r="G29" t="s" s="10">
        <v>250</v>
      </c>
      <c r="H29" t="s" s="10">
        <v>37</v>
      </c>
      <c r="I29" s="12"/>
      <c r="J29" t="s" s="10">
        <v>38</v>
      </c>
      <c r="K29" s="12"/>
      <c r="L29" s="12"/>
      <c r="M29" s="12"/>
      <c r="N29" s="12"/>
      <c r="O29" t="s" s="10">
        <v>251</v>
      </c>
      <c r="P29" t="s" s="10">
        <v>252</v>
      </c>
      <c r="Q29" t="s" s="10">
        <v>41</v>
      </c>
      <c r="R29" s="11">
        <v>149</v>
      </c>
      <c r="S29" s="12"/>
      <c r="T29" s="12"/>
      <c r="U29" s="12"/>
      <c r="V29" t="s" s="10">
        <v>116</v>
      </c>
      <c r="W29" t="s" s="10">
        <v>42</v>
      </c>
      <c r="X29" t="s" s="10">
        <v>253</v>
      </c>
      <c r="Y29" t="s" s="10">
        <v>44</v>
      </c>
      <c r="Z29" t="s" s="10">
        <v>253</v>
      </c>
      <c r="AA29" t="s" s="10">
        <v>254</v>
      </c>
      <c r="AB29" t="s" s="10">
        <v>254</v>
      </c>
      <c r="AC29" s="12"/>
      <c r="AD29" t="s" s="10">
        <v>46</v>
      </c>
      <c r="AE29" s="12"/>
    </row>
    <row r="30" ht="20.05" customHeight="1">
      <c r="A30" t="s" s="8">
        <f>"XLY-496"</f>
        <v>255</v>
      </c>
      <c r="B30" t="s" s="9">
        <v>48</v>
      </c>
      <c r="C30" t="s" s="10">
        <v>49</v>
      </c>
      <c r="D30" t="s" s="10">
        <v>256</v>
      </c>
      <c r="E30" t="s" s="10">
        <v>257</v>
      </c>
      <c r="F30" s="11">
        <v>1896</v>
      </c>
      <c r="G30" t="s" s="10">
        <v>258</v>
      </c>
      <c r="H30" t="s" s="10">
        <v>37</v>
      </c>
      <c r="I30" s="12"/>
      <c r="J30" t="s" s="10">
        <v>38</v>
      </c>
      <c r="K30" s="12"/>
      <c r="L30" s="12"/>
      <c r="M30" t="s" s="10">
        <v>53</v>
      </c>
      <c r="N30" s="12"/>
      <c r="O30" t="s" s="10">
        <v>259</v>
      </c>
      <c r="P30" t="s" s="10">
        <v>260</v>
      </c>
      <c r="Q30" t="s" s="10">
        <v>41</v>
      </c>
      <c r="R30" s="11">
        <v>177</v>
      </c>
      <c r="S30" s="12"/>
      <c r="T30" s="12"/>
      <c r="U30" s="12"/>
      <c r="V30" t="s" s="10">
        <v>56</v>
      </c>
      <c r="W30" t="s" s="10">
        <v>42</v>
      </c>
      <c r="X30" t="s" s="10">
        <v>261</v>
      </c>
      <c r="Y30" t="s" s="10">
        <v>44</v>
      </c>
      <c r="Z30" t="s" s="10">
        <v>262</v>
      </c>
      <c r="AA30" t="s" s="10">
        <v>263</v>
      </c>
      <c r="AB30" t="s" s="10">
        <v>263</v>
      </c>
      <c r="AC30" s="12"/>
      <c r="AD30" t="s" s="10">
        <v>46</v>
      </c>
      <c r="AE30" s="12"/>
    </row>
    <row r="31" ht="20.05" customHeight="1">
      <c r="A31" t="s" s="8">
        <f>"IXE-834"</f>
        <v>264</v>
      </c>
      <c r="B31" t="s" s="9">
        <v>33</v>
      </c>
      <c r="C31" t="s" s="10">
        <v>49</v>
      </c>
      <c r="D31" t="s" s="10">
        <v>256</v>
      </c>
      <c r="E31" t="s" s="10">
        <v>257</v>
      </c>
      <c r="F31" s="11">
        <v>1896</v>
      </c>
      <c r="G31" t="s" s="10">
        <v>265</v>
      </c>
      <c r="H31" t="s" s="10">
        <v>37</v>
      </c>
      <c r="I31" s="12"/>
      <c r="J31" t="s" s="10">
        <v>38</v>
      </c>
      <c r="K31" s="12"/>
      <c r="L31" s="12"/>
      <c r="M31" s="12"/>
      <c r="N31" s="12"/>
      <c r="O31" t="s" s="10">
        <v>266</v>
      </c>
      <c r="P31" t="s" s="10">
        <v>267</v>
      </c>
      <c r="Q31" t="s" s="10">
        <v>41</v>
      </c>
      <c r="R31" s="11">
        <v>177</v>
      </c>
      <c r="S31" s="12"/>
      <c r="T31" s="12"/>
      <c r="U31" s="12"/>
      <c r="V31" t="s" s="10">
        <v>56</v>
      </c>
      <c r="W31" t="s" s="10">
        <v>42</v>
      </c>
      <c r="X31" t="s" s="10">
        <v>268</v>
      </c>
      <c r="Y31" t="s" s="10">
        <v>44</v>
      </c>
      <c r="Z31" t="s" s="10">
        <v>269</v>
      </c>
      <c r="AA31" t="s" s="10">
        <v>270</v>
      </c>
      <c r="AB31" t="s" s="10">
        <v>270</v>
      </c>
      <c r="AC31" s="12"/>
      <c r="AD31" t="s" s="10">
        <v>46</v>
      </c>
      <c r="AE31" s="12"/>
    </row>
    <row r="32" ht="20.05" customHeight="1">
      <c r="A32" t="s" s="8">
        <f>"BBZ-113"</f>
        <v>271</v>
      </c>
      <c r="B32" t="s" s="9">
        <v>33</v>
      </c>
      <c r="C32" t="s" s="10">
        <v>49</v>
      </c>
      <c r="D32" t="s" s="10">
        <v>256</v>
      </c>
      <c r="E32" t="s" s="10">
        <v>257</v>
      </c>
      <c r="F32" s="11">
        <v>1896</v>
      </c>
      <c r="G32" t="s" s="10">
        <v>272</v>
      </c>
      <c r="H32" t="s" s="10">
        <v>37</v>
      </c>
      <c r="I32" s="12"/>
      <c r="J32" t="s" s="10">
        <v>38</v>
      </c>
      <c r="K32" s="12"/>
      <c r="L32" s="12"/>
      <c r="M32" s="12"/>
      <c r="N32" s="12"/>
      <c r="O32" t="s" s="10">
        <v>273</v>
      </c>
      <c r="P32" t="s" s="10">
        <v>84</v>
      </c>
      <c r="Q32" t="s" s="10">
        <v>41</v>
      </c>
      <c r="R32" s="11">
        <v>177</v>
      </c>
      <c r="S32" s="12"/>
      <c r="T32" s="12"/>
      <c r="U32" s="12"/>
      <c r="V32" t="s" s="10">
        <v>56</v>
      </c>
      <c r="W32" t="s" s="10">
        <v>42</v>
      </c>
      <c r="X32" t="s" s="10">
        <v>274</v>
      </c>
      <c r="Y32" t="s" s="10">
        <v>44</v>
      </c>
      <c r="Z32" t="s" s="10">
        <v>275</v>
      </c>
      <c r="AA32" t="s" s="10">
        <v>276</v>
      </c>
      <c r="AB32" t="s" s="10">
        <v>276</v>
      </c>
      <c r="AC32" s="12"/>
      <c r="AD32" t="s" s="10">
        <v>46</v>
      </c>
      <c r="AE32" s="12"/>
    </row>
    <row r="33" ht="20.05" customHeight="1">
      <c r="A33" t="s" s="8">
        <f>"BJZ-839"</f>
        <v>277</v>
      </c>
      <c r="B33" t="s" s="9">
        <v>33</v>
      </c>
      <c r="C33" t="s" s="10">
        <v>49</v>
      </c>
      <c r="D33" t="s" s="10">
        <v>256</v>
      </c>
      <c r="E33" t="s" s="10">
        <v>257</v>
      </c>
      <c r="F33" s="11">
        <v>1896</v>
      </c>
      <c r="G33" t="s" s="10">
        <v>278</v>
      </c>
      <c r="H33" t="s" s="10">
        <v>37</v>
      </c>
      <c r="I33" s="12"/>
      <c r="J33" t="s" s="10">
        <v>38</v>
      </c>
      <c r="K33" s="12"/>
      <c r="L33" s="12"/>
      <c r="M33" s="12"/>
      <c r="N33" s="12"/>
      <c r="O33" t="s" s="10">
        <v>279</v>
      </c>
      <c r="P33" t="s" s="10">
        <v>280</v>
      </c>
      <c r="Q33" t="s" s="10">
        <v>41</v>
      </c>
      <c r="R33" s="11">
        <v>177</v>
      </c>
      <c r="S33" s="12"/>
      <c r="T33" s="12"/>
      <c r="U33" s="12"/>
      <c r="V33" t="s" s="10">
        <v>56</v>
      </c>
      <c r="W33" t="s" s="10">
        <v>42</v>
      </c>
      <c r="X33" t="s" s="10">
        <v>281</v>
      </c>
      <c r="Y33" t="s" s="10">
        <v>44</v>
      </c>
      <c r="Z33" t="s" s="10">
        <v>262</v>
      </c>
      <c r="AA33" t="s" s="10">
        <v>282</v>
      </c>
      <c r="AB33" t="s" s="10">
        <v>282</v>
      </c>
      <c r="AC33" s="12"/>
      <c r="AD33" t="s" s="10">
        <v>46</v>
      </c>
      <c r="AE33" s="12"/>
    </row>
    <row r="34" ht="20.05" customHeight="1">
      <c r="A34" t="s" s="8">
        <f>"BJZ-861"</f>
        <v>283</v>
      </c>
      <c r="B34" t="s" s="9">
        <v>48</v>
      </c>
      <c r="C34" t="s" s="10">
        <v>49</v>
      </c>
      <c r="D34" t="s" s="10">
        <v>256</v>
      </c>
      <c r="E34" t="s" s="10">
        <v>257</v>
      </c>
      <c r="F34" s="11">
        <v>1896</v>
      </c>
      <c r="G34" t="s" s="10">
        <v>284</v>
      </c>
      <c r="H34" t="s" s="10">
        <v>37</v>
      </c>
      <c r="I34" s="12"/>
      <c r="J34" t="s" s="10">
        <v>38</v>
      </c>
      <c r="K34" s="12"/>
      <c r="L34" s="12"/>
      <c r="M34" t="s" s="10">
        <v>53</v>
      </c>
      <c r="N34" s="12"/>
      <c r="O34" t="s" s="10">
        <v>285</v>
      </c>
      <c r="P34" t="s" s="10">
        <v>286</v>
      </c>
      <c r="Q34" t="s" s="10">
        <v>41</v>
      </c>
      <c r="R34" s="11">
        <v>177</v>
      </c>
      <c r="S34" s="12"/>
      <c r="T34" s="12"/>
      <c r="U34" s="12"/>
      <c r="V34" t="s" s="10">
        <v>56</v>
      </c>
      <c r="W34" t="s" s="10">
        <v>42</v>
      </c>
      <c r="X34" t="s" s="10">
        <v>287</v>
      </c>
      <c r="Y34" s="12"/>
      <c r="Z34" s="12"/>
      <c r="AA34" t="s" s="10">
        <v>288</v>
      </c>
      <c r="AB34" t="s" s="10">
        <v>288</v>
      </c>
      <c r="AC34" s="12"/>
      <c r="AD34" t="s" s="10">
        <v>46</v>
      </c>
      <c r="AE34" s="12"/>
    </row>
    <row r="35" ht="20.05" customHeight="1">
      <c r="A35" t="s" s="8">
        <f>"LYY-814"</f>
        <v>289</v>
      </c>
      <c r="B35" t="s" s="9">
        <v>48</v>
      </c>
      <c r="C35" t="s" s="10">
        <v>49</v>
      </c>
      <c r="D35" t="s" s="10">
        <v>256</v>
      </c>
      <c r="E35" t="s" s="10">
        <v>290</v>
      </c>
      <c r="F35" s="11">
        <v>1896</v>
      </c>
      <c r="G35" t="s" s="10">
        <v>291</v>
      </c>
      <c r="H35" t="s" s="10">
        <v>37</v>
      </c>
      <c r="I35" s="12"/>
      <c r="J35" t="s" s="10">
        <v>38</v>
      </c>
      <c r="K35" s="12"/>
      <c r="L35" s="12"/>
      <c r="M35" t="s" s="10">
        <v>292</v>
      </c>
      <c r="N35" s="12"/>
      <c r="O35" t="s" s="10">
        <v>215</v>
      </c>
      <c r="P35" t="s" s="10">
        <v>293</v>
      </c>
      <c r="Q35" t="s" s="10">
        <v>41</v>
      </c>
      <c r="R35" s="11">
        <v>174</v>
      </c>
      <c r="S35" s="12"/>
      <c r="T35" s="12"/>
      <c r="U35" s="12"/>
      <c r="V35" t="s" s="10">
        <v>56</v>
      </c>
      <c r="W35" t="s" s="10">
        <v>42</v>
      </c>
      <c r="X35" t="s" s="10">
        <v>294</v>
      </c>
      <c r="Y35" t="s" s="10">
        <v>44</v>
      </c>
      <c r="Z35" t="s" s="10">
        <v>295</v>
      </c>
      <c r="AA35" t="s" s="10">
        <v>296</v>
      </c>
      <c r="AB35" t="s" s="10">
        <v>296</v>
      </c>
      <c r="AC35" s="12"/>
      <c r="AD35" t="s" s="10">
        <v>46</v>
      </c>
      <c r="AE35" s="12"/>
    </row>
    <row r="36" ht="20.05" customHeight="1">
      <c r="A36" t="s" s="8">
        <f>"EKZ-170"</f>
        <v>297</v>
      </c>
      <c r="B36" t="s" s="9">
        <v>33</v>
      </c>
      <c r="C36" t="s" s="10">
        <v>49</v>
      </c>
      <c r="D36" t="s" s="10">
        <v>256</v>
      </c>
      <c r="E36" t="s" s="10">
        <v>257</v>
      </c>
      <c r="F36" s="11">
        <v>1896</v>
      </c>
      <c r="G36" t="s" s="10">
        <v>298</v>
      </c>
      <c r="H36" t="s" s="10">
        <v>37</v>
      </c>
      <c r="I36" s="12"/>
      <c r="J36" t="s" s="10">
        <v>38</v>
      </c>
      <c r="K36" s="12"/>
      <c r="L36" s="12"/>
      <c r="M36" s="12"/>
      <c r="N36" s="12"/>
      <c r="O36" t="s" s="10">
        <v>299</v>
      </c>
      <c r="P36" t="s" s="10">
        <v>300</v>
      </c>
      <c r="Q36" t="s" s="10">
        <v>41</v>
      </c>
      <c r="R36" s="11">
        <v>174</v>
      </c>
      <c r="S36" s="12"/>
      <c r="T36" s="12"/>
      <c r="U36" s="12"/>
      <c r="V36" t="s" s="10">
        <v>56</v>
      </c>
      <c r="W36" t="s" s="10">
        <v>42</v>
      </c>
      <c r="X36" t="s" s="10">
        <v>301</v>
      </c>
      <c r="Y36" t="s" s="10">
        <v>44</v>
      </c>
      <c r="Z36" t="s" s="10">
        <v>301</v>
      </c>
      <c r="AA36" t="s" s="10">
        <v>302</v>
      </c>
      <c r="AB36" t="s" s="10">
        <v>302</v>
      </c>
      <c r="AC36" s="12"/>
      <c r="AD36" t="s" s="10">
        <v>46</v>
      </c>
      <c r="AE36" s="12"/>
    </row>
    <row r="37" ht="20.05" customHeight="1">
      <c r="A37" t="s" s="8">
        <f>"BOC-710"</f>
        <v>303</v>
      </c>
      <c r="B37" t="s" s="9">
        <v>33</v>
      </c>
      <c r="C37" t="s" s="10">
        <v>49</v>
      </c>
      <c r="D37" t="s" s="10">
        <v>256</v>
      </c>
      <c r="E37" t="s" s="10">
        <v>257</v>
      </c>
      <c r="F37" s="11">
        <v>1896</v>
      </c>
      <c r="G37" t="s" s="10">
        <v>304</v>
      </c>
      <c r="H37" t="s" s="10">
        <v>37</v>
      </c>
      <c r="I37" s="12"/>
      <c r="J37" t="s" s="10">
        <v>38</v>
      </c>
      <c r="K37" s="12"/>
      <c r="L37" s="12"/>
      <c r="M37" s="12"/>
      <c r="N37" s="12"/>
      <c r="O37" t="s" s="10">
        <v>305</v>
      </c>
      <c r="P37" t="s" s="10">
        <v>306</v>
      </c>
      <c r="Q37" t="s" s="10">
        <v>41</v>
      </c>
      <c r="R37" s="11">
        <v>174</v>
      </c>
      <c r="S37" s="12"/>
      <c r="T37" s="12"/>
      <c r="U37" s="12"/>
      <c r="V37" t="s" s="10">
        <v>56</v>
      </c>
      <c r="W37" t="s" s="10">
        <v>42</v>
      </c>
      <c r="X37" t="s" s="10">
        <v>307</v>
      </c>
      <c r="Y37" t="s" s="10">
        <v>44</v>
      </c>
      <c r="Z37" t="s" s="10">
        <v>307</v>
      </c>
      <c r="AA37" t="s" s="10">
        <v>308</v>
      </c>
      <c r="AB37" t="s" s="10">
        <v>308</v>
      </c>
      <c r="AC37" s="12"/>
      <c r="AD37" t="s" s="10">
        <v>46</v>
      </c>
      <c r="AE37" s="12"/>
    </row>
    <row r="38" ht="20.05" customHeight="1">
      <c r="A38" t="s" s="8">
        <f>"IJK-274"</f>
        <v>309</v>
      </c>
      <c r="B38" t="s" s="9">
        <v>48</v>
      </c>
      <c r="C38" t="s" s="10">
        <v>49</v>
      </c>
      <c r="D38" t="s" s="10">
        <v>256</v>
      </c>
      <c r="E38" t="s" s="10">
        <v>257</v>
      </c>
      <c r="F38" s="11">
        <v>1896</v>
      </c>
      <c r="G38" t="s" s="10">
        <v>310</v>
      </c>
      <c r="H38" t="s" s="10">
        <v>37</v>
      </c>
      <c r="I38" s="12"/>
      <c r="J38" t="s" s="10">
        <v>38</v>
      </c>
      <c r="K38" s="12"/>
      <c r="L38" s="12"/>
      <c r="M38" t="s" s="10">
        <v>53</v>
      </c>
      <c r="N38" s="12"/>
      <c r="O38" t="s" s="10">
        <v>311</v>
      </c>
      <c r="P38" t="s" s="10">
        <v>312</v>
      </c>
      <c r="Q38" t="s" s="10">
        <v>41</v>
      </c>
      <c r="R38" s="11">
        <v>174</v>
      </c>
      <c r="S38" s="12"/>
      <c r="T38" s="12"/>
      <c r="U38" s="12"/>
      <c r="V38" t="s" s="10">
        <v>56</v>
      </c>
      <c r="W38" t="s" s="10">
        <v>42</v>
      </c>
      <c r="X38" t="s" s="10">
        <v>313</v>
      </c>
      <c r="Y38" t="s" s="10">
        <v>44</v>
      </c>
      <c r="Z38" t="s" s="10">
        <v>314</v>
      </c>
      <c r="AA38" t="s" s="10">
        <v>315</v>
      </c>
      <c r="AB38" t="s" s="10">
        <v>315</v>
      </c>
      <c r="AC38" s="12"/>
      <c r="AD38" t="s" s="10">
        <v>46</v>
      </c>
      <c r="AE38" s="12"/>
    </row>
    <row r="39" ht="20.05" customHeight="1">
      <c r="A39" t="s" s="8">
        <f t="shared" si="36" ref="A39:A66">"IJK-275"</f>
        <v>316</v>
      </c>
      <c r="B39" t="s" s="9">
        <v>48</v>
      </c>
      <c r="C39" t="s" s="10">
        <v>49</v>
      </c>
      <c r="D39" t="s" s="10">
        <v>256</v>
      </c>
      <c r="E39" t="s" s="10">
        <v>257</v>
      </c>
      <c r="F39" s="11">
        <v>1896</v>
      </c>
      <c r="G39" t="s" s="10">
        <v>317</v>
      </c>
      <c r="H39" t="s" s="10">
        <v>37</v>
      </c>
      <c r="I39" s="12"/>
      <c r="J39" t="s" s="10">
        <v>38</v>
      </c>
      <c r="K39" s="12"/>
      <c r="L39" t="s" s="10">
        <v>149</v>
      </c>
      <c r="M39" t="s" s="10">
        <v>292</v>
      </c>
      <c r="N39" s="12"/>
      <c r="O39" t="s" s="10">
        <v>318</v>
      </c>
      <c r="P39" t="s" s="10">
        <v>228</v>
      </c>
      <c r="Q39" t="s" s="10">
        <v>41</v>
      </c>
      <c r="R39" s="11">
        <v>174</v>
      </c>
      <c r="S39" s="12"/>
      <c r="T39" s="12"/>
      <c r="U39" s="12"/>
      <c r="V39" t="s" s="10">
        <v>56</v>
      </c>
      <c r="W39" t="s" s="10">
        <v>42</v>
      </c>
      <c r="X39" t="s" s="10">
        <v>319</v>
      </c>
      <c r="Y39" t="s" s="10">
        <v>44</v>
      </c>
      <c r="Z39" t="s" s="10">
        <v>319</v>
      </c>
      <c r="AA39" t="s" s="10">
        <v>315</v>
      </c>
      <c r="AB39" t="s" s="10">
        <v>315</v>
      </c>
      <c r="AC39" s="12"/>
      <c r="AD39" t="s" s="10">
        <v>46</v>
      </c>
      <c r="AE39" s="12"/>
    </row>
    <row r="40" ht="20.05" customHeight="1">
      <c r="A40" t="s" s="8">
        <f>"BOB-764"</f>
        <v>320</v>
      </c>
      <c r="B40" t="s" s="9">
        <v>33</v>
      </c>
      <c r="C40" t="s" s="10">
        <v>49</v>
      </c>
      <c r="D40" t="s" s="10">
        <v>256</v>
      </c>
      <c r="E40" t="s" s="10">
        <v>257</v>
      </c>
      <c r="F40" s="11">
        <v>1896</v>
      </c>
      <c r="G40" t="s" s="10">
        <v>321</v>
      </c>
      <c r="H40" t="s" s="10">
        <v>37</v>
      </c>
      <c r="I40" s="12"/>
      <c r="J40" t="s" s="10">
        <v>38</v>
      </c>
      <c r="K40" s="12"/>
      <c r="L40" s="12"/>
      <c r="M40" s="12"/>
      <c r="N40" s="12"/>
      <c r="O40" t="s" s="10">
        <v>322</v>
      </c>
      <c r="P40" t="s" s="10">
        <v>323</v>
      </c>
      <c r="Q40" t="s" s="10">
        <v>41</v>
      </c>
      <c r="R40" s="11">
        <v>174</v>
      </c>
      <c r="S40" s="12"/>
      <c r="T40" s="12"/>
      <c r="U40" s="12"/>
      <c r="V40" t="s" s="10">
        <v>56</v>
      </c>
      <c r="W40" t="s" s="10">
        <v>42</v>
      </c>
      <c r="X40" t="s" s="10">
        <v>324</v>
      </c>
      <c r="Y40" t="s" s="10">
        <v>44</v>
      </c>
      <c r="Z40" t="s" s="10">
        <v>314</v>
      </c>
      <c r="AA40" t="s" s="10">
        <v>302</v>
      </c>
      <c r="AB40" t="s" s="10">
        <v>302</v>
      </c>
      <c r="AC40" s="12"/>
      <c r="AD40" t="s" s="10">
        <v>46</v>
      </c>
      <c r="AE40" s="12"/>
    </row>
    <row r="41" ht="20.05" customHeight="1">
      <c r="A41" t="s" s="8">
        <f>"BTY-414"</f>
        <v>325</v>
      </c>
      <c r="B41" t="s" s="9">
        <v>48</v>
      </c>
      <c r="C41" t="s" s="10">
        <v>49</v>
      </c>
      <c r="D41" t="s" s="10">
        <v>256</v>
      </c>
      <c r="E41" t="s" s="10">
        <v>290</v>
      </c>
      <c r="F41" s="11">
        <v>1896</v>
      </c>
      <c r="G41" t="s" s="10">
        <v>326</v>
      </c>
      <c r="H41" t="s" s="10">
        <v>37</v>
      </c>
      <c r="I41" s="12"/>
      <c r="J41" t="s" s="10">
        <v>38</v>
      </c>
      <c r="K41" s="12"/>
      <c r="L41" s="12"/>
      <c r="M41" t="s" s="10">
        <v>327</v>
      </c>
      <c r="N41" s="12"/>
      <c r="O41" t="s" s="10">
        <v>328</v>
      </c>
      <c r="P41" t="s" s="10">
        <v>329</v>
      </c>
      <c r="Q41" t="s" s="10">
        <v>41</v>
      </c>
      <c r="R41" s="11">
        <v>174</v>
      </c>
      <c r="S41" s="12"/>
      <c r="T41" s="12"/>
      <c r="U41" s="12"/>
      <c r="V41" t="s" s="10">
        <v>56</v>
      </c>
      <c r="W41" t="s" s="10">
        <v>42</v>
      </c>
      <c r="X41" t="s" s="10">
        <v>330</v>
      </c>
      <c r="Y41" t="s" s="10">
        <v>44</v>
      </c>
      <c r="Z41" t="s" s="10">
        <v>331</v>
      </c>
      <c r="AA41" t="s" s="10">
        <v>332</v>
      </c>
      <c r="AB41" t="s" s="10">
        <v>332</v>
      </c>
      <c r="AC41" s="12"/>
      <c r="AD41" t="s" s="10">
        <v>46</v>
      </c>
      <c r="AE41" s="12"/>
    </row>
    <row r="42" ht="20.05" customHeight="1">
      <c r="A42" t="s" s="8">
        <f>"ECZ-366"</f>
        <v>333</v>
      </c>
      <c r="B42" t="s" s="9">
        <v>33</v>
      </c>
      <c r="C42" t="s" s="10">
        <v>49</v>
      </c>
      <c r="D42" t="s" s="10">
        <v>256</v>
      </c>
      <c r="E42" t="s" s="10">
        <v>290</v>
      </c>
      <c r="F42" s="11">
        <v>1896</v>
      </c>
      <c r="G42" t="s" s="10">
        <v>334</v>
      </c>
      <c r="H42" t="s" s="10">
        <v>37</v>
      </c>
      <c r="I42" s="12"/>
      <c r="J42" t="s" s="10">
        <v>38</v>
      </c>
      <c r="K42" s="12"/>
      <c r="L42" s="12"/>
      <c r="M42" s="12"/>
      <c r="N42" s="12"/>
      <c r="O42" t="s" s="10">
        <v>335</v>
      </c>
      <c r="P42" t="s" s="10">
        <v>336</v>
      </c>
      <c r="Q42" t="s" s="10">
        <v>41</v>
      </c>
      <c r="R42" s="11">
        <v>174</v>
      </c>
      <c r="S42" s="12"/>
      <c r="T42" s="12"/>
      <c r="U42" s="12"/>
      <c r="V42" t="s" s="10">
        <v>56</v>
      </c>
      <c r="W42" t="s" s="10">
        <v>42</v>
      </c>
      <c r="X42" t="s" s="10">
        <v>337</v>
      </c>
      <c r="Y42" t="s" s="10">
        <v>44</v>
      </c>
      <c r="Z42" t="s" s="10">
        <v>338</v>
      </c>
      <c r="AA42" t="s" s="10">
        <v>339</v>
      </c>
      <c r="AB42" t="s" s="10">
        <v>339</v>
      </c>
      <c r="AC42" s="12"/>
      <c r="AD42" t="s" s="10">
        <v>46</v>
      </c>
      <c r="AE42" s="12"/>
    </row>
    <row r="43" ht="20.05" customHeight="1">
      <c r="A43" t="s" s="8">
        <f>"AKZ-433"</f>
        <v>340</v>
      </c>
      <c r="B43" t="s" s="9">
        <v>48</v>
      </c>
      <c r="C43" t="s" s="10">
        <v>49</v>
      </c>
      <c r="D43" t="s" s="10">
        <v>256</v>
      </c>
      <c r="E43" t="s" s="10">
        <v>290</v>
      </c>
      <c r="F43" s="11">
        <v>1896</v>
      </c>
      <c r="G43" t="s" s="10">
        <v>341</v>
      </c>
      <c r="H43" t="s" s="10">
        <v>37</v>
      </c>
      <c r="I43" s="12"/>
      <c r="J43" t="s" s="10">
        <v>38</v>
      </c>
      <c r="K43" s="12"/>
      <c r="L43" s="12"/>
      <c r="M43" t="s" s="10">
        <v>53</v>
      </c>
      <c r="N43" s="12"/>
      <c r="O43" t="s" s="10">
        <v>342</v>
      </c>
      <c r="P43" t="s" s="10">
        <v>343</v>
      </c>
      <c r="Q43" t="s" s="10">
        <v>41</v>
      </c>
      <c r="R43" s="11">
        <v>174</v>
      </c>
      <c r="S43" s="12"/>
      <c r="T43" s="12"/>
      <c r="U43" s="12"/>
      <c r="V43" t="s" s="10">
        <v>56</v>
      </c>
      <c r="W43" t="s" s="10">
        <v>42</v>
      </c>
      <c r="X43" t="s" s="10">
        <v>344</v>
      </c>
      <c r="Y43" t="s" s="10">
        <v>44</v>
      </c>
      <c r="Z43" t="s" s="10">
        <v>345</v>
      </c>
      <c r="AA43" t="s" s="10">
        <v>346</v>
      </c>
      <c r="AB43" t="s" s="10">
        <v>346</v>
      </c>
      <c r="AC43" s="12"/>
      <c r="AD43" t="s" s="10">
        <v>46</v>
      </c>
      <c r="AE43" s="12"/>
    </row>
    <row r="44" ht="20.05" customHeight="1">
      <c r="A44" t="s" s="8">
        <f>"AKZ-443"</f>
        <v>347</v>
      </c>
      <c r="B44" t="s" s="9">
        <v>33</v>
      </c>
      <c r="C44" t="s" s="10">
        <v>49</v>
      </c>
      <c r="D44" t="s" s="10">
        <v>256</v>
      </c>
      <c r="E44" t="s" s="10">
        <v>290</v>
      </c>
      <c r="F44" s="11">
        <v>1896</v>
      </c>
      <c r="G44" t="s" s="10">
        <v>348</v>
      </c>
      <c r="H44" t="s" s="10">
        <v>37</v>
      </c>
      <c r="I44" s="12"/>
      <c r="J44" t="s" s="10">
        <v>38</v>
      </c>
      <c r="K44" s="12"/>
      <c r="L44" s="12"/>
      <c r="M44" s="12"/>
      <c r="N44" s="12"/>
      <c r="O44" t="s" s="10">
        <v>349</v>
      </c>
      <c r="P44" t="s" s="10">
        <v>350</v>
      </c>
      <c r="Q44" t="s" s="10">
        <v>41</v>
      </c>
      <c r="R44" s="11">
        <v>174</v>
      </c>
      <c r="S44" s="12"/>
      <c r="T44" s="12"/>
      <c r="U44" s="12"/>
      <c r="V44" t="s" s="10">
        <v>56</v>
      </c>
      <c r="W44" t="s" s="10">
        <v>42</v>
      </c>
      <c r="X44" t="s" s="10">
        <v>351</v>
      </c>
      <c r="Y44" t="s" s="10">
        <v>44</v>
      </c>
      <c r="Z44" t="s" s="10">
        <v>352</v>
      </c>
      <c r="AA44" t="s" s="10">
        <v>353</v>
      </c>
      <c r="AB44" t="s" s="10">
        <v>353</v>
      </c>
      <c r="AC44" t="s" s="10">
        <v>120</v>
      </c>
      <c r="AD44" t="s" s="10">
        <v>46</v>
      </c>
      <c r="AE44" s="12"/>
    </row>
    <row r="45" ht="20.05" customHeight="1">
      <c r="A45" t="s" s="8">
        <f>"FJJ-976"</f>
        <v>354</v>
      </c>
      <c r="B45" t="s" s="9">
        <v>48</v>
      </c>
      <c r="C45" t="s" s="10">
        <v>49</v>
      </c>
      <c r="D45" t="s" s="10">
        <v>256</v>
      </c>
      <c r="E45" t="s" s="10">
        <v>290</v>
      </c>
      <c r="F45" s="11">
        <v>1896</v>
      </c>
      <c r="G45" t="s" s="10">
        <v>355</v>
      </c>
      <c r="H45" t="s" s="10">
        <v>37</v>
      </c>
      <c r="I45" s="12"/>
      <c r="J45" t="s" s="10">
        <v>38</v>
      </c>
      <c r="K45" s="12"/>
      <c r="L45" s="12"/>
      <c r="M45" t="s" s="10">
        <v>53</v>
      </c>
      <c r="N45" s="12"/>
      <c r="O45" t="s" s="10">
        <v>356</v>
      </c>
      <c r="P45" t="s" s="10">
        <v>357</v>
      </c>
      <c r="Q45" t="s" s="10">
        <v>41</v>
      </c>
      <c r="R45" s="11">
        <v>174</v>
      </c>
      <c r="S45" s="12"/>
      <c r="T45" s="12"/>
      <c r="U45" s="12"/>
      <c r="V45" t="s" s="10">
        <v>56</v>
      </c>
      <c r="W45" t="s" s="10">
        <v>42</v>
      </c>
      <c r="X45" t="s" s="10">
        <v>358</v>
      </c>
      <c r="Y45" s="12"/>
      <c r="Z45" s="12"/>
      <c r="AA45" t="s" s="10">
        <v>359</v>
      </c>
      <c r="AB45" t="s" s="10">
        <v>359</v>
      </c>
      <c r="AC45" s="12"/>
      <c r="AD45" t="s" s="10">
        <v>46</v>
      </c>
      <c r="AE45" s="12"/>
    </row>
    <row r="46" ht="20.05" customHeight="1">
      <c r="A46" t="s" s="8">
        <f>"KRJ-368"</f>
        <v>360</v>
      </c>
      <c r="B46" t="s" s="9">
        <v>48</v>
      </c>
      <c r="C46" t="s" s="10">
        <v>49</v>
      </c>
      <c r="D46" t="s" s="10">
        <v>256</v>
      </c>
      <c r="E46" t="s" s="10">
        <v>257</v>
      </c>
      <c r="F46" s="11">
        <v>1598</v>
      </c>
      <c r="G46" t="s" s="10">
        <v>361</v>
      </c>
      <c r="H46" t="s" s="10">
        <v>37</v>
      </c>
      <c r="I46" s="12"/>
      <c r="J46" t="s" s="10">
        <v>38</v>
      </c>
      <c r="K46" s="12"/>
      <c r="L46" s="12"/>
      <c r="M46" t="s" s="10">
        <v>53</v>
      </c>
      <c r="N46" s="12"/>
      <c r="O46" t="s" s="10">
        <v>352</v>
      </c>
      <c r="P46" t="s" s="10">
        <v>64</v>
      </c>
      <c r="Q46" t="s" s="10">
        <v>41</v>
      </c>
      <c r="R46" s="11">
        <v>149</v>
      </c>
      <c r="S46" s="12"/>
      <c r="T46" s="12"/>
      <c r="U46" s="12"/>
      <c r="V46" t="s" s="10">
        <v>56</v>
      </c>
      <c r="W46" t="s" s="10">
        <v>42</v>
      </c>
      <c r="X46" t="s" s="10">
        <v>362</v>
      </c>
      <c r="Y46" t="s" s="10">
        <v>44</v>
      </c>
      <c r="Z46" t="s" s="10">
        <v>363</v>
      </c>
      <c r="AA46" t="s" s="10">
        <v>364</v>
      </c>
      <c r="AB46" t="s" s="10">
        <v>364</v>
      </c>
      <c r="AC46" s="12"/>
      <c r="AD46" t="s" s="10">
        <v>46</v>
      </c>
      <c r="AE46" s="12"/>
    </row>
    <row r="47" ht="20.05" customHeight="1">
      <c r="A47" t="s" s="8">
        <f>"BPX-195"</f>
        <v>365</v>
      </c>
      <c r="B47" t="s" s="9">
        <v>33</v>
      </c>
      <c r="C47" t="s" s="10">
        <v>49</v>
      </c>
      <c r="D47" t="s" s="10">
        <v>256</v>
      </c>
      <c r="E47" t="s" s="10">
        <v>257</v>
      </c>
      <c r="F47" s="11">
        <v>1598</v>
      </c>
      <c r="G47" t="s" s="10">
        <v>366</v>
      </c>
      <c r="H47" t="s" s="10">
        <v>37</v>
      </c>
      <c r="I47" s="12"/>
      <c r="J47" t="s" s="10">
        <v>38</v>
      </c>
      <c r="K47" s="12"/>
      <c r="L47" s="12"/>
      <c r="M47" s="12"/>
      <c r="N47" s="12"/>
      <c r="O47" t="s" s="10">
        <v>367</v>
      </c>
      <c r="P47" t="s" s="10">
        <v>368</v>
      </c>
      <c r="Q47" t="s" s="10">
        <v>41</v>
      </c>
      <c r="R47" s="11">
        <v>139</v>
      </c>
      <c r="S47" s="12"/>
      <c r="T47" s="12"/>
      <c r="U47" s="12"/>
      <c r="V47" t="s" s="10">
        <v>56</v>
      </c>
      <c r="W47" t="s" s="10">
        <v>42</v>
      </c>
      <c r="X47" t="s" s="10">
        <v>369</v>
      </c>
      <c r="Y47" t="s" s="10">
        <v>44</v>
      </c>
      <c r="Z47" t="s" s="10">
        <v>179</v>
      </c>
      <c r="AA47" t="s" s="10">
        <v>370</v>
      </c>
      <c r="AB47" t="s" s="10">
        <v>370</v>
      </c>
      <c r="AC47" s="12"/>
      <c r="AD47" t="s" s="10">
        <v>46</v>
      </c>
      <c r="AE47" s="12"/>
    </row>
    <row r="48" ht="20.05" customHeight="1">
      <c r="A48" t="s" s="8">
        <f>"IKS-937"</f>
        <v>371</v>
      </c>
      <c r="B48" t="s" s="9">
        <v>33</v>
      </c>
      <c r="C48" t="s" s="10">
        <v>49</v>
      </c>
      <c r="D48" t="s" s="10">
        <v>256</v>
      </c>
      <c r="E48" t="s" s="10">
        <v>372</v>
      </c>
      <c r="F48" s="11">
        <v>1968</v>
      </c>
      <c r="G48" t="s" s="10">
        <v>373</v>
      </c>
      <c r="H48" t="s" s="10">
        <v>37</v>
      </c>
      <c r="I48" s="12"/>
      <c r="J48" t="s" s="10">
        <v>38</v>
      </c>
      <c r="K48" s="12"/>
      <c r="L48" s="12"/>
      <c r="M48" t="s" s="10">
        <v>82</v>
      </c>
      <c r="N48" s="12"/>
      <c r="O48" t="s" s="10">
        <v>374</v>
      </c>
      <c r="P48" t="s" s="10">
        <v>375</v>
      </c>
      <c r="Q48" t="s" s="10">
        <v>41</v>
      </c>
      <c r="R48" s="11">
        <v>198</v>
      </c>
      <c r="S48" s="12"/>
      <c r="T48" s="12"/>
      <c r="U48" s="12"/>
      <c r="V48" t="s" s="10">
        <v>56</v>
      </c>
      <c r="W48" t="s" s="10">
        <v>42</v>
      </c>
      <c r="X48" t="s" s="10">
        <v>376</v>
      </c>
      <c r="Y48" t="s" s="10">
        <v>44</v>
      </c>
      <c r="Z48" t="s" s="10">
        <v>377</v>
      </c>
      <c r="AA48" t="s" s="10">
        <v>378</v>
      </c>
      <c r="AB48" t="s" s="10">
        <v>378</v>
      </c>
      <c r="AC48" s="12"/>
      <c r="AD48" t="s" s="10">
        <v>46</v>
      </c>
      <c r="AE48" s="12"/>
    </row>
    <row r="49" ht="20.05" customHeight="1">
      <c r="A49" t="s" s="8">
        <f>"KMM-124"</f>
        <v>379</v>
      </c>
      <c r="B49" t="s" s="9">
        <v>48</v>
      </c>
      <c r="C49" t="s" s="10">
        <v>49</v>
      </c>
      <c r="D49" t="s" s="10">
        <v>380</v>
      </c>
      <c r="E49" t="s" s="10">
        <v>257</v>
      </c>
      <c r="F49" s="11">
        <v>1968</v>
      </c>
      <c r="G49" t="s" s="10">
        <v>381</v>
      </c>
      <c r="H49" t="s" s="10">
        <v>37</v>
      </c>
      <c r="I49" s="12"/>
      <c r="J49" t="s" s="10">
        <v>38</v>
      </c>
      <c r="K49" s="12"/>
      <c r="L49" s="12"/>
      <c r="M49" t="s" s="10">
        <v>53</v>
      </c>
      <c r="N49" s="12"/>
      <c r="O49" t="s" s="10">
        <v>382</v>
      </c>
      <c r="P49" t="s" s="10">
        <v>383</v>
      </c>
      <c r="Q49" t="s" s="10">
        <v>41</v>
      </c>
      <c r="R49" s="11">
        <v>152</v>
      </c>
      <c r="S49" s="12"/>
      <c r="T49" s="12"/>
      <c r="U49" s="12"/>
      <c r="V49" t="s" s="10">
        <v>56</v>
      </c>
      <c r="W49" t="s" s="10">
        <v>42</v>
      </c>
      <c r="X49" t="s" s="10">
        <v>384</v>
      </c>
      <c r="Y49" t="s" s="10">
        <v>44</v>
      </c>
      <c r="Z49" t="s" s="10">
        <v>385</v>
      </c>
      <c r="AA49" t="s" s="10">
        <v>197</v>
      </c>
      <c r="AB49" t="s" s="10">
        <v>197</v>
      </c>
      <c r="AC49" t="s" s="10">
        <v>59</v>
      </c>
      <c r="AD49" t="s" s="10">
        <v>46</v>
      </c>
      <c r="AE49" s="12"/>
    </row>
    <row r="50" ht="20.05" customHeight="1">
      <c r="A50" t="s" s="8">
        <f>"JJC-376"</f>
        <v>386</v>
      </c>
      <c r="B50" t="s" s="9">
        <v>33</v>
      </c>
      <c r="C50" t="s" s="10">
        <v>49</v>
      </c>
      <c r="D50" t="s" s="10">
        <v>380</v>
      </c>
      <c r="E50" t="s" s="10">
        <v>257</v>
      </c>
      <c r="F50" s="11">
        <v>1968</v>
      </c>
      <c r="G50" t="s" s="10">
        <v>387</v>
      </c>
      <c r="H50" t="s" s="10">
        <v>37</v>
      </c>
      <c r="I50" s="12"/>
      <c r="J50" t="s" s="10">
        <v>38</v>
      </c>
      <c r="K50" s="12"/>
      <c r="L50" s="12"/>
      <c r="M50" s="12"/>
      <c r="N50" s="12"/>
      <c r="O50" t="s" s="10">
        <v>388</v>
      </c>
      <c r="P50" t="s" s="10">
        <v>389</v>
      </c>
      <c r="Q50" t="s" s="10">
        <v>41</v>
      </c>
      <c r="R50" s="11">
        <v>152</v>
      </c>
      <c r="S50" s="12"/>
      <c r="T50" s="12"/>
      <c r="U50" s="12"/>
      <c r="V50" t="s" s="10">
        <v>56</v>
      </c>
      <c r="W50" t="s" s="10">
        <v>42</v>
      </c>
      <c r="X50" t="s" s="10">
        <v>390</v>
      </c>
      <c r="Y50" t="s" s="10">
        <v>44</v>
      </c>
      <c r="Z50" t="s" s="10">
        <v>385</v>
      </c>
      <c r="AA50" t="s" s="10">
        <v>391</v>
      </c>
      <c r="AB50" t="s" s="10">
        <v>391</v>
      </c>
      <c r="AC50" t="s" s="10">
        <v>59</v>
      </c>
      <c r="AD50" t="s" s="10">
        <v>46</v>
      </c>
      <c r="AE50" s="12"/>
    </row>
    <row r="51" ht="20.05" customHeight="1">
      <c r="A51" t="s" s="8">
        <f>"GKY-172"</f>
        <v>392</v>
      </c>
      <c r="B51" t="s" s="9">
        <v>48</v>
      </c>
      <c r="C51" t="s" s="10">
        <v>49</v>
      </c>
      <c r="D51" t="s" s="10">
        <v>380</v>
      </c>
      <c r="E51" t="s" s="10">
        <v>257</v>
      </c>
      <c r="F51" s="11">
        <v>1968</v>
      </c>
      <c r="G51" t="s" s="10">
        <v>393</v>
      </c>
      <c r="H51" t="s" s="10">
        <v>37</v>
      </c>
      <c r="I51" s="12"/>
      <c r="J51" t="s" s="10">
        <v>38</v>
      </c>
      <c r="K51" s="12"/>
      <c r="L51" s="12"/>
      <c r="M51" t="s" s="10">
        <v>53</v>
      </c>
      <c r="N51" s="12"/>
      <c r="O51" t="s" s="10">
        <v>394</v>
      </c>
      <c r="P51" t="s" s="10">
        <v>395</v>
      </c>
      <c r="Q51" t="s" s="10">
        <v>41</v>
      </c>
      <c r="R51" s="11">
        <v>152</v>
      </c>
      <c r="S51" s="12"/>
      <c r="T51" s="12"/>
      <c r="U51" s="12"/>
      <c r="V51" t="s" s="10">
        <v>56</v>
      </c>
      <c r="W51" t="s" s="10">
        <v>42</v>
      </c>
      <c r="X51" t="s" s="10">
        <v>396</v>
      </c>
      <c r="Y51" s="12"/>
      <c r="Z51" s="12"/>
      <c r="AA51" t="s" s="10">
        <v>397</v>
      </c>
      <c r="AB51" t="s" s="10">
        <v>397</v>
      </c>
      <c r="AC51" s="12"/>
      <c r="AD51" t="s" s="10">
        <v>46</v>
      </c>
      <c r="AE51" s="12"/>
    </row>
    <row r="52" ht="20.05" customHeight="1">
      <c r="A52" t="s" s="8">
        <f>"KMO-574"</f>
        <v>398</v>
      </c>
      <c r="B52" t="s" s="9">
        <v>33</v>
      </c>
      <c r="C52" t="s" s="10">
        <v>49</v>
      </c>
      <c r="D52" t="s" s="10">
        <v>380</v>
      </c>
      <c r="E52" t="s" s="10">
        <v>257</v>
      </c>
      <c r="F52" s="11">
        <v>1968</v>
      </c>
      <c r="G52" t="s" s="10">
        <v>399</v>
      </c>
      <c r="H52" t="s" s="10">
        <v>37</v>
      </c>
      <c r="I52" s="12"/>
      <c r="J52" t="s" s="10">
        <v>38</v>
      </c>
      <c r="K52" s="12"/>
      <c r="L52" s="12"/>
      <c r="M52" t="s" s="10">
        <v>400</v>
      </c>
      <c r="N52" s="12"/>
      <c r="O52" t="s" s="10">
        <v>401</v>
      </c>
      <c r="P52" t="s" s="10">
        <v>402</v>
      </c>
      <c r="Q52" t="s" s="10">
        <v>41</v>
      </c>
      <c r="R52" s="11">
        <v>152</v>
      </c>
      <c r="S52" s="12"/>
      <c r="T52" s="12"/>
      <c r="U52" s="12"/>
      <c r="V52" t="s" s="10">
        <v>56</v>
      </c>
      <c r="W52" t="s" s="10">
        <v>42</v>
      </c>
      <c r="X52" t="s" s="10">
        <v>384</v>
      </c>
      <c r="Y52" t="s" s="10">
        <v>44</v>
      </c>
      <c r="Z52" t="s" s="10">
        <v>385</v>
      </c>
      <c r="AA52" t="s" s="10">
        <v>403</v>
      </c>
      <c r="AB52" t="s" s="10">
        <v>403</v>
      </c>
      <c r="AC52" t="s" s="10">
        <v>59</v>
      </c>
      <c r="AD52" t="s" s="10">
        <v>46</v>
      </c>
      <c r="AE52" s="12"/>
    </row>
    <row r="53" ht="20.05" customHeight="1">
      <c r="A53" t="s" s="8">
        <f>"USF-169"</f>
        <v>404</v>
      </c>
      <c r="B53" t="s" s="9">
        <v>33</v>
      </c>
      <c r="C53" t="s" s="10">
        <v>49</v>
      </c>
      <c r="D53" t="s" s="10">
        <v>380</v>
      </c>
      <c r="E53" t="s" s="10">
        <v>257</v>
      </c>
      <c r="F53" s="11">
        <v>1968</v>
      </c>
      <c r="G53" t="s" s="10">
        <v>405</v>
      </c>
      <c r="H53" t="s" s="10">
        <v>37</v>
      </c>
      <c r="I53" s="12"/>
      <c r="J53" t="s" s="10">
        <v>38</v>
      </c>
      <c r="K53" s="12"/>
      <c r="L53" s="12"/>
      <c r="M53" s="12"/>
      <c r="N53" s="12"/>
      <c r="O53" t="s" s="10">
        <v>299</v>
      </c>
      <c r="P53" t="s" s="10">
        <v>406</v>
      </c>
      <c r="Q53" t="s" s="10">
        <v>41</v>
      </c>
      <c r="R53" s="11">
        <v>152</v>
      </c>
      <c r="S53" s="12"/>
      <c r="T53" s="12"/>
      <c r="U53" s="12"/>
      <c r="V53" t="s" s="10">
        <v>56</v>
      </c>
      <c r="W53" t="s" s="10">
        <v>42</v>
      </c>
      <c r="X53" t="s" s="10">
        <v>384</v>
      </c>
      <c r="Y53" t="s" s="10">
        <v>44</v>
      </c>
      <c r="Z53" t="s" s="10">
        <v>385</v>
      </c>
      <c r="AA53" t="s" s="10">
        <v>403</v>
      </c>
      <c r="AB53" t="s" s="10">
        <v>403</v>
      </c>
      <c r="AC53" t="s" s="10">
        <v>59</v>
      </c>
      <c r="AD53" t="s" s="10">
        <v>46</v>
      </c>
      <c r="AE53" s="12"/>
    </row>
    <row r="54" ht="20.05" customHeight="1">
      <c r="A54" t="s" s="8">
        <f>"YKU-566"</f>
        <v>407</v>
      </c>
      <c r="B54" t="s" s="9">
        <v>33</v>
      </c>
      <c r="C54" t="s" s="10">
        <v>101</v>
      </c>
      <c r="D54" t="s" s="10">
        <v>380</v>
      </c>
      <c r="E54" t="s" s="10">
        <v>408</v>
      </c>
      <c r="F54" s="12"/>
      <c r="G54" t="s" s="10">
        <v>409</v>
      </c>
      <c r="H54" t="s" s="10">
        <v>37</v>
      </c>
      <c r="I54" s="12"/>
      <c r="J54" t="s" s="10">
        <v>157</v>
      </c>
      <c r="K54" t="s" s="10">
        <v>158</v>
      </c>
      <c r="L54" t="s" s="10">
        <v>159</v>
      </c>
      <c r="M54" s="12"/>
      <c r="N54" s="12"/>
      <c r="O54" t="s" s="10">
        <v>410</v>
      </c>
      <c r="P54" t="s" s="10">
        <v>411</v>
      </c>
      <c r="Q54" t="s" s="10">
        <v>41</v>
      </c>
      <c r="R54" s="12"/>
      <c r="S54" s="12"/>
      <c r="T54" s="12"/>
      <c r="U54" s="12"/>
      <c r="V54" t="s" s="10">
        <v>412</v>
      </c>
      <c r="W54" t="s" s="10">
        <v>133</v>
      </c>
      <c r="X54" t="s" s="10">
        <v>413</v>
      </c>
      <c r="Y54" t="s" s="10">
        <v>44</v>
      </c>
      <c r="Z54" t="s" s="10">
        <v>413</v>
      </c>
      <c r="AA54" t="s" s="10">
        <v>413</v>
      </c>
      <c r="AB54" t="s" s="10">
        <v>414</v>
      </c>
      <c r="AC54" s="12"/>
      <c r="AD54" t="s" s="10">
        <v>46</v>
      </c>
      <c r="AE54" s="12"/>
    </row>
    <row r="55" ht="20.05" customHeight="1">
      <c r="A55" t="s" s="8">
        <f>"JMR-900"</f>
        <v>415</v>
      </c>
      <c r="B55" t="s" s="9">
        <v>33</v>
      </c>
      <c r="C55" t="s" s="10">
        <v>101</v>
      </c>
      <c r="D55" t="s" s="10">
        <v>380</v>
      </c>
      <c r="E55" t="s" s="10">
        <v>257</v>
      </c>
      <c r="F55" s="11">
        <v>1968</v>
      </c>
      <c r="G55" t="s" s="10">
        <v>416</v>
      </c>
      <c r="H55" t="s" s="10">
        <v>37</v>
      </c>
      <c r="I55" s="12"/>
      <c r="J55" t="s" s="10">
        <v>157</v>
      </c>
      <c r="K55" t="s" s="10">
        <v>158</v>
      </c>
      <c r="L55" t="s" s="10">
        <v>159</v>
      </c>
      <c r="M55" t="s" s="10">
        <v>82</v>
      </c>
      <c r="N55" s="12"/>
      <c r="O55" t="s" s="10">
        <v>374</v>
      </c>
      <c r="P55" t="s" s="10">
        <v>375</v>
      </c>
      <c r="Q55" t="s" s="10">
        <v>41</v>
      </c>
      <c r="R55" s="11">
        <v>122</v>
      </c>
      <c r="S55" s="12"/>
      <c r="T55" s="11">
        <v>145</v>
      </c>
      <c r="U55" s="12"/>
      <c r="V55" t="s" s="10">
        <v>56</v>
      </c>
      <c r="W55" t="s" s="10">
        <v>133</v>
      </c>
      <c r="X55" t="s" s="10">
        <v>417</v>
      </c>
      <c r="Y55" t="s" s="10">
        <v>44</v>
      </c>
      <c r="Z55" t="s" s="10">
        <v>417</v>
      </c>
      <c r="AA55" t="s" s="10">
        <v>418</v>
      </c>
      <c r="AB55" t="s" s="10">
        <v>418</v>
      </c>
      <c r="AC55" t="s" s="10">
        <v>181</v>
      </c>
      <c r="AD55" t="s" s="10">
        <v>46</v>
      </c>
      <c r="AE55" s="12"/>
    </row>
    <row r="56" ht="20.05" customHeight="1">
      <c r="A56" t="s" s="8">
        <f>"JOC-393"</f>
        <v>419</v>
      </c>
      <c r="B56" t="s" s="9">
        <v>33</v>
      </c>
      <c r="C56" t="s" s="10">
        <v>101</v>
      </c>
      <c r="D56" t="s" s="10">
        <v>380</v>
      </c>
      <c r="E56" t="s" s="10">
        <v>257</v>
      </c>
      <c r="F56" s="11">
        <v>1968</v>
      </c>
      <c r="G56" t="s" s="10">
        <v>420</v>
      </c>
      <c r="H56" t="s" s="10">
        <v>37</v>
      </c>
      <c r="I56" s="12"/>
      <c r="J56" t="s" s="10">
        <v>157</v>
      </c>
      <c r="K56" t="s" s="10">
        <v>158</v>
      </c>
      <c r="L56" t="s" s="10">
        <v>159</v>
      </c>
      <c r="M56" t="s" s="10">
        <v>82</v>
      </c>
      <c r="N56" s="12"/>
      <c r="O56" t="s" s="10">
        <v>421</v>
      </c>
      <c r="P56" t="s" s="10">
        <v>422</v>
      </c>
      <c r="Q56" t="s" s="10">
        <v>41</v>
      </c>
      <c r="R56" s="12"/>
      <c r="S56" s="12"/>
      <c r="T56" s="11">
        <v>154</v>
      </c>
      <c r="U56" s="12"/>
      <c r="V56" t="s" s="10">
        <v>56</v>
      </c>
      <c r="W56" t="s" s="10">
        <v>133</v>
      </c>
      <c r="X56" t="s" s="10">
        <v>421</v>
      </c>
      <c r="Y56" t="s" s="10">
        <v>44</v>
      </c>
      <c r="Z56" t="s" s="10">
        <v>421</v>
      </c>
      <c r="AA56" t="s" s="10">
        <v>421</v>
      </c>
      <c r="AB56" t="s" s="10">
        <v>421</v>
      </c>
      <c r="AC56" t="s" s="10">
        <v>181</v>
      </c>
      <c r="AD56" t="s" s="10">
        <v>46</v>
      </c>
      <c r="AE56" s="12"/>
    </row>
    <row r="57" ht="20.05" customHeight="1">
      <c r="A57" t="s" s="8">
        <f>"UXF-336"</f>
        <v>423</v>
      </c>
      <c r="B57" t="s" s="9">
        <v>33</v>
      </c>
      <c r="C57" t="s" s="10">
        <v>49</v>
      </c>
      <c r="D57" t="s" s="10">
        <v>50</v>
      </c>
      <c r="E57" t="s" s="10">
        <v>51</v>
      </c>
      <c r="F57" s="11">
        <v>1560</v>
      </c>
      <c r="G57" t="s" s="10">
        <v>424</v>
      </c>
      <c r="H57" t="s" s="10">
        <v>425</v>
      </c>
      <c r="I57" s="12"/>
      <c r="J57" t="s" s="10">
        <v>38</v>
      </c>
      <c r="K57" s="12"/>
      <c r="L57" s="12"/>
      <c r="M57" s="12"/>
      <c r="N57" s="12"/>
      <c r="O57" t="s" s="10">
        <v>426</v>
      </c>
      <c r="P57" t="s" s="10">
        <v>427</v>
      </c>
      <c r="Q57" t="s" s="10">
        <v>41</v>
      </c>
      <c r="R57" s="11">
        <v>122</v>
      </c>
      <c r="S57" s="12"/>
      <c r="T57" s="12"/>
      <c r="U57" s="12"/>
      <c r="V57" t="s" s="10">
        <v>56</v>
      </c>
      <c r="W57" t="s" s="10">
        <v>42</v>
      </c>
      <c r="X57" t="s" s="10">
        <v>428</v>
      </c>
      <c r="Y57" t="s" s="10">
        <v>44</v>
      </c>
      <c r="Z57" t="s" s="10">
        <v>429</v>
      </c>
      <c r="AA57" t="s" s="10">
        <v>430</v>
      </c>
      <c r="AB57" t="s" s="10">
        <v>430</v>
      </c>
      <c r="AC57" t="s" s="10">
        <v>59</v>
      </c>
      <c r="AD57" t="s" s="10">
        <v>46</v>
      </c>
      <c r="AE57" s="12"/>
    </row>
    <row r="58" ht="20.05" customHeight="1">
      <c r="A58" t="s" s="8">
        <f>"GKS-642"</f>
        <v>431</v>
      </c>
      <c r="B58" t="s" s="9">
        <v>33</v>
      </c>
      <c r="C58" t="s" s="10">
        <v>49</v>
      </c>
      <c r="D58" t="s" s="10">
        <v>50</v>
      </c>
      <c r="E58" t="s" s="10">
        <v>51</v>
      </c>
      <c r="F58" s="11">
        <v>1560</v>
      </c>
      <c r="G58" t="s" s="10">
        <v>432</v>
      </c>
      <c r="H58" t="s" s="10">
        <v>425</v>
      </c>
      <c r="I58" s="12"/>
      <c r="J58" t="s" s="10">
        <v>38</v>
      </c>
      <c r="K58" s="12"/>
      <c r="L58" s="12"/>
      <c r="M58" t="s" s="10">
        <v>400</v>
      </c>
      <c r="N58" s="12"/>
      <c r="O58" t="s" s="10">
        <v>433</v>
      </c>
      <c r="P58" t="s" s="10">
        <v>434</v>
      </c>
      <c r="Q58" t="s" s="10">
        <v>41</v>
      </c>
      <c r="R58" s="11">
        <v>122</v>
      </c>
      <c r="S58" s="12"/>
      <c r="T58" s="12"/>
      <c r="U58" s="12"/>
      <c r="V58" t="s" s="10">
        <v>56</v>
      </c>
      <c r="W58" t="s" s="10">
        <v>42</v>
      </c>
      <c r="X58" t="s" s="10">
        <v>435</v>
      </c>
      <c r="Y58" t="s" s="10">
        <v>44</v>
      </c>
      <c r="Z58" t="s" s="10">
        <v>436</v>
      </c>
      <c r="AA58" t="s" s="10">
        <v>437</v>
      </c>
      <c r="AB58" t="s" s="10">
        <v>437</v>
      </c>
      <c r="AC58" t="s" s="10">
        <v>59</v>
      </c>
      <c r="AD58" t="s" s="10">
        <v>46</v>
      </c>
      <c r="AE58" s="12"/>
    </row>
    <row r="59" ht="20.05" customHeight="1">
      <c r="A59" t="s" s="8">
        <f>"VXH-696"</f>
        <v>438</v>
      </c>
      <c r="B59" t="s" s="9">
        <v>33</v>
      </c>
      <c r="C59" t="s" s="10">
        <v>49</v>
      </c>
      <c r="D59" t="s" s="10">
        <v>50</v>
      </c>
      <c r="E59" t="s" s="10">
        <v>51</v>
      </c>
      <c r="F59" s="11">
        <v>1560</v>
      </c>
      <c r="G59" t="s" s="10">
        <v>439</v>
      </c>
      <c r="H59" t="s" s="10">
        <v>425</v>
      </c>
      <c r="I59" s="12"/>
      <c r="J59" t="s" s="10">
        <v>38</v>
      </c>
      <c r="K59" s="12"/>
      <c r="L59" s="12"/>
      <c r="M59" s="12"/>
      <c r="N59" s="12"/>
      <c r="O59" t="s" s="10">
        <v>410</v>
      </c>
      <c r="P59" t="s" s="10">
        <v>411</v>
      </c>
      <c r="Q59" t="s" s="10">
        <v>41</v>
      </c>
      <c r="R59" s="11">
        <v>122</v>
      </c>
      <c r="S59" s="12"/>
      <c r="T59" s="12"/>
      <c r="U59" s="12"/>
      <c r="V59" t="s" s="10">
        <v>56</v>
      </c>
      <c r="W59" t="s" s="10">
        <v>42</v>
      </c>
      <c r="X59" t="s" s="10">
        <v>440</v>
      </c>
      <c r="Y59" t="s" s="10">
        <v>44</v>
      </c>
      <c r="Z59" t="s" s="10">
        <v>440</v>
      </c>
      <c r="AA59" t="s" s="10">
        <v>77</v>
      </c>
      <c r="AB59" t="s" s="10">
        <v>77</v>
      </c>
      <c r="AC59" t="s" s="10">
        <v>59</v>
      </c>
      <c r="AD59" t="s" s="10">
        <v>46</v>
      </c>
      <c r="AE59" s="12"/>
    </row>
    <row r="60" ht="20.05" customHeight="1">
      <c r="A60" t="s" s="8">
        <f>"MMO-422"</f>
        <v>441</v>
      </c>
      <c r="B60" t="s" s="9">
        <v>33</v>
      </c>
      <c r="C60" t="s" s="10">
        <v>49</v>
      </c>
      <c r="D60" t="s" s="10">
        <v>50</v>
      </c>
      <c r="E60" t="s" s="10">
        <v>79</v>
      </c>
      <c r="F60" s="11">
        <v>1997</v>
      </c>
      <c r="G60" t="s" s="10">
        <v>442</v>
      </c>
      <c r="H60" t="s" s="10">
        <v>425</v>
      </c>
      <c r="I60" s="12"/>
      <c r="J60" t="s" s="10">
        <v>38</v>
      </c>
      <c r="K60" s="12"/>
      <c r="L60" s="12"/>
      <c r="M60" t="s" s="10">
        <v>82</v>
      </c>
      <c r="N60" s="12"/>
      <c r="O60" t="s" s="10">
        <v>443</v>
      </c>
      <c r="P60" t="s" s="10">
        <v>444</v>
      </c>
      <c r="Q60" t="s" s="10">
        <v>41</v>
      </c>
      <c r="R60" s="11">
        <v>189</v>
      </c>
      <c r="S60" s="12"/>
      <c r="T60" s="12"/>
      <c r="U60" s="12"/>
      <c r="V60" t="s" s="10">
        <v>56</v>
      </c>
      <c r="W60" t="s" s="10">
        <v>42</v>
      </c>
      <c r="X60" t="s" s="10">
        <v>86</v>
      </c>
      <c r="Y60" t="s" s="10">
        <v>44</v>
      </c>
      <c r="Z60" t="s" s="10">
        <v>86</v>
      </c>
      <c r="AA60" t="s" s="10">
        <v>445</v>
      </c>
      <c r="AB60" t="s" s="10">
        <v>445</v>
      </c>
      <c r="AC60" s="12"/>
      <c r="AD60" t="s" s="10">
        <v>46</v>
      </c>
      <c r="AE60" s="12"/>
    </row>
    <row r="61" ht="20.05" customHeight="1">
      <c r="A61" t="s" s="8">
        <f>"OVB-344"</f>
        <v>446</v>
      </c>
      <c r="B61" t="s" s="9">
        <v>33</v>
      </c>
      <c r="C61" t="s" s="10">
        <v>49</v>
      </c>
      <c r="D61" t="s" s="10">
        <v>50</v>
      </c>
      <c r="E61" t="s" s="10">
        <v>79</v>
      </c>
      <c r="F61" s="11">
        <v>1997</v>
      </c>
      <c r="G61" t="s" s="10">
        <v>447</v>
      </c>
      <c r="H61" t="s" s="10">
        <v>425</v>
      </c>
      <c r="I61" s="12"/>
      <c r="J61" t="s" s="10">
        <v>38</v>
      </c>
      <c r="K61" s="12"/>
      <c r="L61" s="12"/>
      <c r="M61" t="s" s="10">
        <v>82</v>
      </c>
      <c r="N61" s="12"/>
      <c r="O61" t="s" s="10">
        <v>448</v>
      </c>
      <c r="P61" t="s" s="10">
        <v>84</v>
      </c>
      <c r="Q61" t="s" s="10">
        <v>41</v>
      </c>
      <c r="R61" s="11">
        <v>189</v>
      </c>
      <c r="S61" s="12"/>
      <c r="T61" s="12"/>
      <c r="U61" s="12"/>
      <c r="V61" t="s" s="10">
        <v>56</v>
      </c>
      <c r="W61" t="s" s="10">
        <v>42</v>
      </c>
      <c r="X61" t="s" s="10">
        <v>449</v>
      </c>
      <c r="Y61" t="s" s="10">
        <v>44</v>
      </c>
      <c r="Z61" t="s" s="10">
        <v>449</v>
      </c>
      <c r="AA61" t="s" s="10">
        <v>450</v>
      </c>
      <c r="AB61" t="s" s="10">
        <v>450</v>
      </c>
      <c r="AC61" s="12"/>
      <c r="AD61" t="s" s="10">
        <v>46</v>
      </c>
      <c r="AE61" s="12"/>
    </row>
    <row r="62" ht="20.05" customHeight="1">
      <c r="A62" t="s" s="8">
        <f>"RSL-802"</f>
        <v>78</v>
      </c>
      <c r="B62" t="s" s="9">
        <v>33</v>
      </c>
      <c r="C62" t="s" s="10">
        <v>49</v>
      </c>
      <c r="D62" t="s" s="10">
        <v>50</v>
      </c>
      <c r="E62" t="s" s="10">
        <v>79</v>
      </c>
      <c r="F62" s="11">
        <v>1997</v>
      </c>
      <c r="G62" t="s" s="10">
        <v>80</v>
      </c>
      <c r="H62" t="s" s="10">
        <v>425</v>
      </c>
      <c r="I62" s="12"/>
      <c r="J62" t="s" s="10">
        <v>157</v>
      </c>
      <c r="K62" t="s" s="10">
        <v>158</v>
      </c>
      <c r="L62" t="s" s="10">
        <v>81</v>
      </c>
      <c r="M62" t="s" s="10">
        <v>82</v>
      </c>
      <c r="N62" s="12"/>
      <c r="O62" t="s" s="10">
        <v>83</v>
      </c>
      <c r="P62" t="s" s="10">
        <v>84</v>
      </c>
      <c r="Q62" t="s" s="10">
        <v>41</v>
      </c>
      <c r="R62" s="11">
        <v>189</v>
      </c>
      <c r="S62" s="12"/>
      <c r="T62" s="12"/>
      <c r="U62" s="12"/>
      <c r="V62" t="s" s="10">
        <v>56</v>
      </c>
      <c r="W62" t="s" s="10">
        <v>42</v>
      </c>
      <c r="X62" t="s" s="10">
        <v>86</v>
      </c>
      <c r="Y62" t="s" s="10">
        <v>44</v>
      </c>
      <c r="Z62" t="s" s="10">
        <v>86</v>
      </c>
      <c r="AA62" t="s" s="10">
        <v>87</v>
      </c>
      <c r="AB62" t="s" s="10">
        <v>87</v>
      </c>
      <c r="AC62" s="12"/>
      <c r="AD62" t="s" s="10">
        <v>46</v>
      </c>
      <c r="AE62" s="12"/>
    </row>
    <row r="63" ht="20.05" customHeight="1">
      <c r="A63" t="s" s="8">
        <f t="shared" si="13"/>
        <v>146</v>
      </c>
      <c r="B63" t="s" s="9">
        <v>33</v>
      </c>
      <c r="C63" t="s" s="10">
        <v>49</v>
      </c>
      <c r="D63" t="s" s="10">
        <v>123</v>
      </c>
      <c r="E63" t="s" s="10">
        <v>147</v>
      </c>
      <c r="F63" s="11">
        <v>2143</v>
      </c>
      <c r="G63" t="s" s="10">
        <v>148</v>
      </c>
      <c r="H63" t="s" s="10">
        <v>425</v>
      </c>
      <c r="I63" s="12"/>
      <c r="J63" t="s" s="10">
        <v>157</v>
      </c>
      <c r="K63" t="s" s="10">
        <v>158</v>
      </c>
      <c r="L63" t="s" s="10">
        <v>149</v>
      </c>
      <c r="M63" t="s" s="10">
        <v>82</v>
      </c>
      <c r="N63" s="12"/>
      <c r="O63" t="s" s="10">
        <v>150</v>
      </c>
      <c r="P63" t="s" s="10">
        <v>151</v>
      </c>
      <c r="Q63" t="s" s="10">
        <v>41</v>
      </c>
      <c r="R63" s="11">
        <v>211</v>
      </c>
      <c r="S63" s="12"/>
      <c r="T63" s="12"/>
      <c r="U63" s="12"/>
      <c r="V63" t="s" s="10">
        <v>56</v>
      </c>
      <c r="W63" t="s" s="10">
        <v>42</v>
      </c>
      <c r="X63" t="s" s="10">
        <v>152</v>
      </c>
      <c r="Y63" t="s" s="10">
        <v>44</v>
      </c>
      <c r="Z63" t="s" s="10">
        <v>152</v>
      </c>
      <c r="AA63" t="s" s="10">
        <v>153</v>
      </c>
      <c r="AB63" t="s" s="10">
        <v>153</v>
      </c>
      <c r="AC63" t="s" s="10">
        <v>59</v>
      </c>
      <c r="AD63" t="s" s="10">
        <v>46</v>
      </c>
      <c r="AE63" s="12"/>
    </row>
    <row r="64" ht="20.05" customHeight="1">
      <c r="A64" t="s" s="8">
        <f>"BRE-103"</f>
        <v>451</v>
      </c>
      <c r="B64" t="s" s="9">
        <v>33</v>
      </c>
      <c r="C64" t="s" s="10">
        <v>49</v>
      </c>
      <c r="D64" t="s" s="10">
        <v>210</v>
      </c>
      <c r="E64" t="s" s="10">
        <v>211</v>
      </c>
      <c r="F64" s="11">
        <v>1560</v>
      </c>
      <c r="G64" t="s" s="10">
        <v>452</v>
      </c>
      <c r="H64" t="s" s="10">
        <v>425</v>
      </c>
      <c r="I64" s="12"/>
      <c r="J64" t="s" s="10">
        <v>38</v>
      </c>
      <c r="K64" s="12"/>
      <c r="L64" s="12"/>
      <c r="M64" s="12"/>
      <c r="N64" s="12"/>
      <c r="O64" t="s" s="10">
        <v>453</v>
      </c>
      <c r="P64" t="s" s="10">
        <v>454</v>
      </c>
      <c r="Q64" t="s" s="10">
        <v>41</v>
      </c>
      <c r="R64" s="11">
        <v>122</v>
      </c>
      <c r="S64" s="12"/>
      <c r="T64" s="12"/>
      <c r="U64" s="12"/>
      <c r="V64" t="s" s="10">
        <v>56</v>
      </c>
      <c r="W64" t="s" s="10">
        <v>42</v>
      </c>
      <c r="X64" t="s" s="10">
        <v>455</v>
      </c>
      <c r="Y64" t="s" s="10">
        <v>44</v>
      </c>
      <c r="Z64" t="s" s="10">
        <v>455</v>
      </c>
      <c r="AA64" t="s" s="10">
        <v>217</v>
      </c>
      <c r="AB64" t="s" s="10">
        <v>217</v>
      </c>
      <c r="AC64" t="s" s="10">
        <v>59</v>
      </c>
      <c r="AD64" t="s" s="10">
        <v>46</v>
      </c>
      <c r="AE64" s="12"/>
    </row>
    <row r="65" ht="20.05" customHeight="1">
      <c r="A65" t="s" s="8">
        <f t="shared" si="25"/>
        <v>242</v>
      </c>
      <c r="B65" t="s" s="9">
        <v>33</v>
      </c>
      <c r="C65" t="s" s="10">
        <v>49</v>
      </c>
      <c r="D65" t="s" s="10">
        <v>243</v>
      </c>
      <c r="E65" t="s" s="10">
        <v>244</v>
      </c>
      <c r="F65" s="11">
        <v>1197</v>
      </c>
      <c r="G65" t="s" s="10">
        <v>245</v>
      </c>
      <c r="H65" t="s" s="10">
        <v>425</v>
      </c>
      <c r="I65" s="12"/>
      <c r="J65" t="s" s="10">
        <v>157</v>
      </c>
      <c r="K65" t="s" s="10">
        <v>158</v>
      </c>
      <c r="L65" t="s" s="10">
        <v>149</v>
      </c>
      <c r="M65" s="12"/>
      <c r="N65" s="12"/>
      <c r="O65" t="s" s="10">
        <v>246</v>
      </c>
      <c r="P65" t="s" s="10">
        <v>247</v>
      </c>
      <c r="Q65" t="s" s="10">
        <v>41</v>
      </c>
      <c r="R65" s="11">
        <v>149</v>
      </c>
      <c r="S65" s="12"/>
      <c r="T65" s="12"/>
      <c r="U65" s="12"/>
      <c r="V65" t="s" s="10">
        <v>116</v>
      </c>
      <c r="W65" t="s" s="10">
        <v>42</v>
      </c>
      <c r="X65" t="s" s="10">
        <v>152</v>
      </c>
      <c r="Y65" t="s" s="10">
        <v>44</v>
      </c>
      <c r="Z65" t="s" s="10">
        <v>152</v>
      </c>
      <c r="AA65" t="s" s="10">
        <v>248</v>
      </c>
      <c r="AB65" t="s" s="10">
        <v>248</v>
      </c>
      <c r="AC65" t="s" s="10">
        <v>59</v>
      </c>
      <c r="AD65" t="s" s="10">
        <v>46</v>
      </c>
      <c r="AE65" s="12"/>
    </row>
    <row r="66" ht="20.05" customHeight="1">
      <c r="A66" t="s" s="8">
        <f t="shared" si="36"/>
        <v>316</v>
      </c>
      <c r="B66" t="s" s="9">
        <v>48</v>
      </c>
      <c r="C66" t="s" s="10">
        <v>49</v>
      </c>
      <c r="D66" t="s" s="10">
        <v>256</v>
      </c>
      <c r="E66" t="s" s="10">
        <v>257</v>
      </c>
      <c r="F66" s="11">
        <v>1896</v>
      </c>
      <c r="G66" t="s" s="10">
        <v>317</v>
      </c>
      <c r="H66" t="s" s="10">
        <v>425</v>
      </c>
      <c r="I66" s="12"/>
      <c r="J66" t="s" s="10">
        <v>157</v>
      </c>
      <c r="K66" t="s" s="10">
        <v>158</v>
      </c>
      <c r="L66" t="s" s="10">
        <v>149</v>
      </c>
      <c r="M66" t="s" s="10">
        <v>292</v>
      </c>
      <c r="N66" s="12"/>
      <c r="O66" t="s" s="10">
        <v>318</v>
      </c>
      <c r="P66" t="s" s="10">
        <v>228</v>
      </c>
      <c r="Q66" t="s" s="10">
        <v>41</v>
      </c>
      <c r="R66" s="11">
        <v>174</v>
      </c>
      <c r="S66" s="12"/>
      <c r="T66" s="12"/>
      <c r="U66" s="12"/>
      <c r="V66" t="s" s="10">
        <v>56</v>
      </c>
      <c r="W66" t="s" s="10">
        <v>42</v>
      </c>
      <c r="X66" t="s" s="10">
        <v>319</v>
      </c>
      <c r="Y66" t="s" s="10">
        <v>44</v>
      </c>
      <c r="Z66" t="s" s="10">
        <v>319</v>
      </c>
      <c r="AA66" t="s" s="10">
        <v>315</v>
      </c>
      <c r="AB66" t="s" s="10">
        <v>315</v>
      </c>
      <c r="AC66" s="12"/>
      <c r="AD66" t="s" s="10">
        <v>46</v>
      </c>
      <c r="AE66" s="12"/>
    </row>
    <row r="67" ht="20.05" customHeight="1">
      <c r="A67" t="s" s="8">
        <f>"IJA-707"</f>
        <v>456</v>
      </c>
      <c r="B67" t="s" s="9">
        <v>33</v>
      </c>
      <c r="C67" t="s" s="10">
        <v>49</v>
      </c>
      <c r="D67" t="s" s="10">
        <v>256</v>
      </c>
      <c r="E67" t="s" s="10">
        <v>457</v>
      </c>
      <c r="F67" s="11">
        <v>1896</v>
      </c>
      <c r="G67" t="s" s="10">
        <v>458</v>
      </c>
      <c r="H67" t="s" s="10">
        <v>425</v>
      </c>
      <c r="I67" s="12"/>
      <c r="J67" t="s" s="10">
        <v>38</v>
      </c>
      <c r="K67" s="12"/>
      <c r="L67" s="12"/>
      <c r="M67" s="12"/>
      <c r="N67" s="12"/>
      <c r="O67" t="s" s="10">
        <v>335</v>
      </c>
      <c r="P67" t="s" s="10">
        <v>459</v>
      </c>
      <c r="Q67" t="s" s="10">
        <v>41</v>
      </c>
      <c r="R67" s="11">
        <v>182</v>
      </c>
      <c r="S67" s="12"/>
      <c r="T67" s="12"/>
      <c r="U67" s="12"/>
      <c r="V67" t="s" s="10">
        <v>56</v>
      </c>
      <c r="W67" t="s" s="10">
        <v>42</v>
      </c>
      <c r="X67" t="s" s="10">
        <v>329</v>
      </c>
      <c r="Y67" t="s" s="10">
        <v>44</v>
      </c>
      <c r="Z67" t="s" s="10">
        <v>460</v>
      </c>
      <c r="AA67" t="s" s="10">
        <v>461</v>
      </c>
      <c r="AB67" t="s" s="10">
        <v>461</v>
      </c>
      <c r="AC67" s="12"/>
      <c r="AD67" t="s" s="10">
        <v>46</v>
      </c>
      <c r="AE67" s="12"/>
    </row>
    <row r="68" ht="20.05" customHeight="1">
      <c r="A68" t="s" s="8">
        <f>"ISL-829"</f>
        <v>462</v>
      </c>
      <c r="B68" t="s" s="9">
        <v>33</v>
      </c>
      <c r="C68" t="s" s="10">
        <v>49</v>
      </c>
      <c r="D68" t="s" s="10">
        <v>380</v>
      </c>
      <c r="E68" t="s" s="10">
        <v>257</v>
      </c>
      <c r="F68" s="11">
        <v>1968</v>
      </c>
      <c r="G68" t="s" s="10">
        <v>463</v>
      </c>
      <c r="H68" t="s" s="10">
        <v>425</v>
      </c>
      <c r="I68" s="12"/>
      <c r="J68" t="s" s="10">
        <v>38</v>
      </c>
      <c r="K68" s="12"/>
      <c r="L68" s="12"/>
      <c r="M68" t="s" s="10">
        <v>82</v>
      </c>
      <c r="N68" s="12"/>
      <c r="O68" t="s" s="10">
        <v>464</v>
      </c>
      <c r="P68" t="s" s="10">
        <v>465</v>
      </c>
      <c r="Q68" t="s" s="10">
        <v>41</v>
      </c>
      <c r="R68" s="11">
        <v>174</v>
      </c>
      <c r="S68" s="12"/>
      <c r="T68" s="12"/>
      <c r="U68" s="12"/>
      <c r="V68" t="s" s="10">
        <v>56</v>
      </c>
      <c r="W68" t="s" s="10">
        <v>42</v>
      </c>
      <c r="X68" t="s" s="10">
        <v>466</v>
      </c>
      <c r="Y68" t="s" s="10">
        <v>44</v>
      </c>
      <c r="Z68" t="s" s="10">
        <v>466</v>
      </c>
      <c r="AA68" t="s" s="10">
        <v>466</v>
      </c>
      <c r="AB68" t="s" s="10">
        <v>467</v>
      </c>
      <c r="AC68" t="s" s="10">
        <v>59</v>
      </c>
      <c r="AD68" t="s" s="10">
        <v>46</v>
      </c>
      <c r="AE68" s="12"/>
    </row>
    <row r="69" ht="20.05" customHeight="1">
      <c r="A69" t="s" s="8">
        <f>"CIL-479"</f>
        <v>468</v>
      </c>
      <c r="B69" t="s" s="9">
        <v>33</v>
      </c>
      <c r="C69" t="s" s="10">
        <v>49</v>
      </c>
      <c r="D69" t="s" s="10">
        <v>469</v>
      </c>
      <c r="E69" t="s" s="10">
        <v>470</v>
      </c>
      <c r="F69" s="11">
        <v>1461</v>
      </c>
      <c r="G69" t="s" s="10">
        <v>471</v>
      </c>
      <c r="H69" t="s" s="10">
        <v>472</v>
      </c>
      <c r="I69" s="12"/>
      <c r="J69" t="s" s="10">
        <v>38</v>
      </c>
      <c r="K69" s="12"/>
      <c r="L69" s="12"/>
      <c r="M69" t="s" s="10">
        <v>473</v>
      </c>
      <c r="N69" s="12"/>
      <c r="O69" t="s" s="10">
        <v>474</v>
      </c>
      <c r="P69" t="s" s="10">
        <v>475</v>
      </c>
      <c r="Q69" t="s" s="10">
        <v>41</v>
      </c>
      <c r="R69" s="11">
        <v>145</v>
      </c>
      <c r="S69" s="12"/>
      <c r="T69" s="12"/>
      <c r="U69" s="12"/>
      <c r="V69" t="s" s="10">
        <v>56</v>
      </c>
      <c r="W69" t="s" s="10">
        <v>42</v>
      </c>
      <c r="X69" t="s" s="10">
        <v>476</v>
      </c>
      <c r="Y69" t="s" s="10">
        <v>44</v>
      </c>
      <c r="Z69" t="s" s="10">
        <v>477</v>
      </c>
      <c r="AA69" t="s" s="10">
        <v>478</v>
      </c>
      <c r="AB69" t="s" s="10">
        <v>478</v>
      </c>
      <c r="AC69" t="s" s="10">
        <v>59</v>
      </c>
      <c r="AD69" t="s" s="10">
        <v>46</v>
      </c>
      <c r="AE69" s="12"/>
    </row>
    <row r="70" ht="20.05" customHeight="1">
      <c r="A70" t="s" s="8">
        <f>"BRX-455"</f>
        <v>479</v>
      </c>
      <c r="B70" t="s" s="9">
        <v>33</v>
      </c>
      <c r="C70" t="s" s="10">
        <v>49</v>
      </c>
      <c r="D70" t="s" s="10">
        <v>102</v>
      </c>
      <c r="E70" t="s" s="10">
        <v>480</v>
      </c>
      <c r="F70" s="11">
        <v>1499</v>
      </c>
      <c r="G70" t="s" s="10">
        <v>481</v>
      </c>
      <c r="H70" t="s" s="10">
        <v>472</v>
      </c>
      <c r="I70" s="12"/>
      <c r="J70" t="s" s="10">
        <v>38</v>
      </c>
      <c r="K70" s="12"/>
      <c r="L70" s="12"/>
      <c r="M70" s="12"/>
      <c r="N70" s="12"/>
      <c r="O70" t="s" s="10">
        <v>71</v>
      </c>
      <c r="P70" t="s" s="10">
        <v>336</v>
      </c>
      <c r="Q70" t="s" s="10">
        <v>41</v>
      </c>
      <c r="R70" s="11">
        <v>103</v>
      </c>
      <c r="S70" s="12"/>
      <c r="T70" s="12"/>
      <c r="U70" s="12"/>
      <c r="V70" t="s" s="10">
        <v>56</v>
      </c>
      <c r="W70" t="s" s="10">
        <v>42</v>
      </c>
      <c r="X70" t="s" s="10">
        <v>482</v>
      </c>
      <c r="Y70" t="s" s="10">
        <v>44</v>
      </c>
      <c r="Z70" t="s" s="10">
        <v>483</v>
      </c>
      <c r="AA70" t="s" s="10">
        <v>484</v>
      </c>
      <c r="AB70" t="s" s="10">
        <v>484</v>
      </c>
      <c r="AC70" t="s" s="10">
        <v>59</v>
      </c>
      <c r="AD70" t="s" s="10">
        <v>46</v>
      </c>
      <c r="AE70" s="12"/>
    </row>
    <row r="71" ht="20.05" customHeight="1">
      <c r="A71" t="s" s="8">
        <f>"VXS-803"</f>
        <v>485</v>
      </c>
      <c r="B71" t="s" s="9">
        <v>33</v>
      </c>
      <c r="C71" t="s" s="10">
        <v>49</v>
      </c>
      <c r="D71" t="s" s="10">
        <v>102</v>
      </c>
      <c r="E71" t="s" s="10">
        <v>480</v>
      </c>
      <c r="F71" s="11">
        <v>1560</v>
      </c>
      <c r="G71" t="s" s="10">
        <v>486</v>
      </c>
      <c r="H71" t="s" s="10">
        <v>472</v>
      </c>
      <c r="I71" s="12"/>
      <c r="J71" t="s" s="10">
        <v>38</v>
      </c>
      <c r="K71" s="12"/>
      <c r="L71" s="12"/>
      <c r="M71" s="12"/>
      <c r="N71" s="12"/>
      <c r="O71" t="s" s="10">
        <v>487</v>
      </c>
      <c r="P71" t="s" s="10">
        <v>488</v>
      </c>
      <c r="Q71" t="s" s="10">
        <v>41</v>
      </c>
      <c r="R71" s="11">
        <v>100</v>
      </c>
      <c r="S71" s="12"/>
      <c r="T71" s="12"/>
      <c r="U71" s="12"/>
      <c r="V71" t="s" s="10">
        <v>56</v>
      </c>
      <c r="W71" t="s" s="10">
        <v>42</v>
      </c>
      <c r="X71" t="s" s="10">
        <v>489</v>
      </c>
      <c r="Y71" t="s" s="10">
        <v>44</v>
      </c>
      <c r="Z71" t="s" s="10">
        <v>483</v>
      </c>
      <c r="AA71" t="s" s="10">
        <v>490</v>
      </c>
      <c r="AB71" t="s" s="10">
        <v>490</v>
      </c>
      <c r="AC71" s="12"/>
      <c r="AD71" t="s" s="10">
        <v>46</v>
      </c>
      <c r="AE71" s="12"/>
    </row>
    <row r="72" ht="20.05" customHeight="1">
      <c r="A72" t="s" s="8">
        <f>"ZKM-222"</f>
        <v>491</v>
      </c>
      <c r="B72" t="s" s="9">
        <v>33</v>
      </c>
      <c r="C72" t="s" s="10">
        <v>49</v>
      </c>
      <c r="D72" t="s" s="10">
        <v>102</v>
      </c>
      <c r="E72" t="s" s="10">
        <v>492</v>
      </c>
      <c r="F72" s="11">
        <v>1560</v>
      </c>
      <c r="G72" t="s" s="10">
        <v>493</v>
      </c>
      <c r="H72" t="s" s="10">
        <v>472</v>
      </c>
      <c r="I72" s="12"/>
      <c r="J72" t="s" s="10">
        <v>38</v>
      </c>
      <c r="K72" s="12"/>
      <c r="L72" s="12"/>
      <c r="M72" s="12"/>
      <c r="N72" s="12"/>
      <c r="O72" t="s" s="10">
        <v>86</v>
      </c>
      <c r="P72" t="s" s="10">
        <v>494</v>
      </c>
      <c r="Q72" t="s" s="10">
        <v>41</v>
      </c>
      <c r="R72" s="11">
        <v>100</v>
      </c>
      <c r="S72" s="12"/>
      <c r="T72" s="12"/>
      <c r="U72" s="12"/>
      <c r="V72" t="s" s="10">
        <v>56</v>
      </c>
      <c r="W72" t="s" s="10">
        <v>42</v>
      </c>
      <c r="X72" t="s" s="10">
        <v>495</v>
      </c>
      <c r="Y72" t="s" s="10">
        <v>44</v>
      </c>
      <c r="Z72" t="s" s="10">
        <v>483</v>
      </c>
      <c r="AA72" t="s" s="10">
        <v>496</v>
      </c>
      <c r="AB72" t="s" s="10">
        <v>496</v>
      </c>
      <c r="AC72" t="s" s="10">
        <v>59</v>
      </c>
      <c r="AD72" t="s" s="10">
        <v>46</v>
      </c>
      <c r="AE72" s="12"/>
    </row>
    <row r="73" ht="20.05" customHeight="1">
      <c r="A73" t="s" s="8">
        <f>"SNK-471"</f>
        <v>497</v>
      </c>
      <c r="B73" t="s" s="9">
        <v>33</v>
      </c>
      <c r="C73" t="s" s="10">
        <v>49</v>
      </c>
      <c r="D73" t="s" s="10">
        <v>102</v>
      </c>
      <c r="E73" t="s" s="10">
        <v>492</v>
      </c>
      <c r="F73" s="11">
        <v>1499</v>
      </c>
      <c r="G73" t="s" s="10">
        <v>498</v>
      </c>
      <c r="H73" t="s" s="10">
        <v>472</v>
      </c>
      <c r="I73" s="12"/>
      <c r="J73" t="s" s="10">
        <v>38</v>
      </c>
      <c r="K73" s="12"/>
      <c r="L73" s="12"/>
      <c r="M73" s="12"/>
      <c r="N73" s="12"/>
      <c r="O73" t="s" s="10">
        <v>499</v>
      </c>
      <c r="P73" t="s" s="10">
        <v>500</v>
      </c>
      <c r="Q73" t="s" s="10">
        <v>41</v>
      </c>
      <c r="R73" s="11">
        <v>103</v>
      </c>
      <c r="S73" s="12"/>
      <c r="T73" s="12"/>
      <c r="U73" s="12"/>
      <c r="V73" t="s" s="10">
        <v>56</v>
      </c>
      <c r="W73" t="s" s="10">
        <v>42</v>
      </c>
      <c r="X73" t="s" s="10">
        <v>501</v>
      </c>
      <c r="Y73" t="s" s="10">
        <v>44</v>
      </c>
      <c r="Z73" t="s" s="10">
        <v>483</v>
      </c>
      <c r="AA73" t="s" s="10">
        <v>502</v>
      </c>
      <c r="AB73" t="s" s="10">
        <v>502</v>
      </c>
      <c r="AC73" s="12"/>
      <c r="AD73" t="s" s="10">
        <v>46</v>
      </c>
      <c r="AE73" s="12"/>
    </row>
    <row r="74" ht="20.05" customHeight="1">
      <c r="A74" t="s" s="8">
        <f>"NKB-862"</f>
        <v>503</v>
      </c>
      <c r="B74" t="s" s="9">
        <v>33</v>
      </c>
      <c r="C74" t="s" s="10">
        <v>49</v>
      </c>
      <c r="D74" t="s" s="10">
        <v>102</v>
      </c>
      <c r="E74" t="s" s="10">
        <v>492</v>
      </c>
      <c r="F74" s="11">
        <v>1560</v>
      </c>
      <c r="G74" t="s" s="10">
        <v>504</v>
      </c>
      <c r="H74" t="s" s="10">
        <v>472</v>
      </c>
      <c r="I74" s="12"/>
      <c r="J74" t="s" s="10">
        <v>38</v>
      </c>
      <c r="K74" s="12"/>
      <c r="L74" s="12"/>
      <c r="M74" s="12"/>
      <c r="N74" s="12"/>
      <c r="O74" t="s" s="10">
        <v>505</v>
      </c>
      <c r="P74" t="s" s="10">
        <v>506</v>
      </c>
      <c r="Q74" t="s" s="10">
        <v>41</v>
      </c>
      <c r="R74" s="11">
        <v>100</v>
      </c>
      <c r="S74" s="12"/>
      <c r="T74" s="12"/>
      <c r="U74" s="12"/>
      <c r="V74" t="s" s="10">
        <v>56</v>
      </c>
      <c r="W74" t="s" s="10">
        <v>42</v>
      </c>
      <c r="X74" t="s" s="10">
        <v>507</v>
      </c>
      <c r="Y74" t="s" s="10">
        <v>44</v>
      </c>
      <c r="Z74" t="s" s="10">
        <v>483</v>
      </c>
      <c r="AA74" t="s" s="10">
        <v>508</v>
      </c>
      <c r="AB74" t="s" s="10">
        <v>508</v>
      </c>
      <c r="AC74" t="s" s="10">
        <v>59</v>
      </c>
      <c r="AD74" t="s" s="10">
        <v>46</v>
      </c>
      <c r="AE74" s="12"/>
    </row>
    <row r="75" ht="20.05" customHeight="1">
      <c r="A75" t="s" s="8">
        <f>"MNE-571"</f>
        <v>509</v>
      </c>
      <c r="B75" t="s" s="9">
        <v>33</v>
      </c>
      <c r="C75" t="s" s="10">
        <v>49</v>
      </c>
      <c r="D75" t="s" s="10">
        <v>102</v>
      </c>
      <c r="E75" t="s" s="10">
        <v>492</v>
      </c>
      <c r="F75" s="11">
        <v>1499</v>
      </c>
      <c r="G75" t="s" s="10">
        <v>510</v>
      </c>
      <c r="H75" t="s" s="10">
        <v>472</v>
      </c>
      <c r="I75" s="12"/>
      <c r="J75" t="s" s="10">
        <v>38</v>
      </c>
      <c r="K75" s="12"/>
      <c r="L75" s="12"/>
      <c r="M75" s="12"/>
      <c r="N75" s="12"/>
      <c r="O75" t="s" s="10">
        <v>511</v>
      </c>
      <c r="P75" t="s" s="10">
        <v>75</v>
      </c>
      <c r="Q75" t="s" s="10">
        <v>41</v>
      </c>
      <c r="R75" s="11">
        <v>99</v>
      </c>
      <c r="S75" s="12"/>
      <c r="T75" s="12"/>
      <c r="U75" s="12"/>
      <c r="V75" t="s" s="10">
        <v>56</v>
      </c>
      <c r="W75" t="s" s="10">
        <v>42</v>
      </c>
      <c r="X75" t="s" s="10">
        <v>512</v>
      </c>
      <c r="Y75" t="s" s="10">
        <v>44</v>
      </c>
      <c r="Z75" t="s" s="10">
        <v>483</v>
      </c>
      <c r="AA75" t="s" s="10">
        <v>513</v>
      </c>
      <c r="AB75" t="s" s="10">
        <v>513</v>
      </c>
      <c r="AC75" t="s" s="10">
        <v>181</v>
      </c>
      <c r="AD75" t="s" s="10">
        <v>46</v>
      </c>
      <c r="AE75" s="12"/>
    </row>
    <row r="76" ht="20.05" customHeight="1">
      <c r="A76" t="s" s="8">
        <f>"ZLV-281"</f>
        <v>514</v>
      </c>
      <c r="B76" t="s" s="9">
        <v>33</v>
      </c>
      <c r="C76" t="s" s="10">
        <v>49</v>
      </c>
      <c r="D76" t="s" s="10">
        <v>102</v>
      </c>
      <c r="E76" t="s" s="10">
        <v>492</v>
      </c>
      <c r="F76" s="11">
        <v>1499</v>
      </c>
      <c r="G76" t="s" s="10">
        <v>515</v>
      </c>
      <c r="H76" t="s" s="10">
        <v>472</v>
      </c>
      <c r="I76" s="12"/>
      <c r="J76" t="s" s="10">
        <v>38</v>
      </c>
      <c r="K76" s="12"/>
      <c r="L76" s="12"/>
      <c r="M76" s="12"/>
      <c r="N76" s="12"/>
      <c r="O76" t="s" s="10">
        <v>516</v>
      </c>
      <c r="P76" t="s" s="10">
        <v>517</v>
      </c>
      <c r="Q76" t="s" s="10">
        <v>41</v>
      </c>
      <c r="R76" s="11">
        <v>99</v>
      </c>
      <c r="S76" s="12"/>
      <c r="T76" s="12"/>
      <c r="U76" s="12"/>
      <c r="V76" t="s" s="10">
        <v>56</v>
      </c>
      <c r="W76" t="s" s="10">
        <v>42</v>
      </c>
      <c r="X76" t="s" s="10">
        <v>518</v>
      </c>
      <c r="Y76" t="s" s="10">
        <v>44</v>
      </c>
      <c r="Z76" t="s" s="10">
        <v>483</v>
      </c>
      <c r="AA76" t="s" s="10">
        <v>519</v>
      </c>
      <c r="AB76" t="s" s="10">
        <v>519</v>
      </c>
      <c r="AC76" t="s" s="10">
        <v>181</v>
      </c>
      <c r="AD76" t="s" s="10">
        <v>46</v>
      </c>
      <c r="AE76" s="12"/>
    </row>
    <row r="77" ht="20.05" customHeight="1">
      <c r="A77" t="s" s="8">
        <f>"CLJ-338"</f>
        <v>520</v>
      </c>
      <c r="B77" t="s" s="9">
        <v>33</v>
      </c>
      <c r="C77" t="s" s="10">
        <v>49</v>
      </c>
      <c r="D77" t="s" s="10">
        <v>102</v>
      </c>
      <c r="E77" t="s" s="10">
        <v>492</v>
      </c>
      <c r="F77" s="11">
        <v>1499</v>
      </c>
      <c r="G77" t="s" s="10">
        <v>521</v>
      </c>
      <c r="H77" t="s" s="10">
        <v>472</v>
      </c>
      <c r="I77" s="12"/>
      <c r="J77" t="s" s="10">
        <v>38</v>
      </c>
      <c r="K77" s="12"/>
      <c r="L77" s="12"/>
      <c r="M77" s="12"/>
      <c r="N77" s="12"/>
      <c r="O77" t="s" s="10">
        <v>522</v>
      </c>
      <c r="P77" t="s" s="10">
        <v>523</v>
      </c>
      <c r="Q77" t="s" s="10">
        <v>41</v>
      </c>
      <c r="R77" s="11">
        <v>99</v>
      </c>
      <c r="S77" s="12"/>
      <c r="T77" s="12"/>
      <c r="U77" s="12"/>
      <c r="V77" t="s" s="10">
        <v>56</v>
      </c>
      <c r="W77" t="s" s="10">
        <v>42</v>
      </c>
      <c r="X77" t="s" s="10">
        <v>524</v>
      </c>
      <c r="Y77" t="s" s="10">
        <v>44</v>
      </c>
      <c r="Z77" t="s" s="10">
        <v>483</v>
      </c>
      <c r="AA77" t="s" s="10">
        <v>525</v>
      </c>
      <c r="AB77" t="s" s="10">
        <v>525</v>
      </c>
      <c r="AC77" t="s" s="10">
        <v>181</v>
      </c>
      <c r="AD77" t="s" s="10">
        <v>46</v>
      </c>
      <c r="AE77" s="12"/>
    </row>
    <row r="78" ht="20.05" customHeight="1">
      <c r="A78" t="s" s="8">
        <f>"FNK-154"</f>
        <v>526</v>
      </c>
      <c r="B78" t="s" s="9">
        <v>33</v>
      </c>
      <c r="C78" t="s" s="10">
        <v>49</v>
      </c>
      <c r="D78" t="s" s="10">
        <v>102</v>
      </c>
      <c r="E78" t="s" s="10">
        <v>492</v>
      </c>
      <c r="F78" s="11">
        <v>1499</v>
      </c>
      <c r="G78" t="s" s="10">
        <v>527</v>
      </c>
      <c r="H78" t="s" s="10">
        <v>472</v>
      </c>
      <c r="I78" s="12"/>
      <c r="J78" t="s" s="10">
        <v>38</v>
      </c>
      <c r="K78" s="12"/>
      <c r="L78" s="12"/>
      <c r="M78" s="12"/>
      <c r="N78" s="12"/>
      <c r="O78" t="s" s="10">
        <v>528</v>
      </c>
      <c r="P78" t="s" s="10">
        <v>529</v>
      </c>
      <c r="Q78" t="s" s="10">
        <v>41</v>
      </c>
      <c r="R78" s="11">
        <v>112</v>
      </c>
      <c r="S78" s="12"/>
      <c r="T78" s="11">
        <v>140</v>
      </c>
      <c r="U78" s="12"/>
      <c r="V78" t="s" s="10">
        <v>56</v>
      </c>
      <c r="W78" t="s" s="10">
        <v>42</v>
      </c>
      <c r="X78" t="s" s="10">
        <v>530</v>
      </c>
      <c r="Y78" t="s" s="10">
        <v>44</v>
      </c>
      <c r="Z78" t="s" s="10">
        <v>483</v>
      </c>
      <c r="AA78" t="s" s="10">
        <v>118</v>
      </c>
      <c r="AB78" t="s" s="10">
        <v>118</v>
      </c>
      <c r="AC78" t="s" s="10">
        <v>181</v>
      </c>
      <c r="AD78" t="s" s="10">
        <v>46</v>
      </c>
      <c r="AE78" s="12"/>
    </row>
    <row r="79" ht="20.05" customHeight="1">
      <c r="A79" t="s" s="8">
        <f>"KTK-434"</f>
        <v>531</v>
      </c>
      <c r="B79" t="s" s="9">
        <v>33</v>
      </c>
      <c r="C79" t="s" s="10">
        <v>49</v>
      </c>
      <c r="D79" t="s" s="10">
        <v>102</v>
      </c>
      <c r="E79" t="s" s="10">
        <v>492</v>
      </c>
      <c r="F79" s="11">
        <v>1499</v>
      </c>
      <c r="G79" t="s" s="10">
        <v>532</v>
      </c>
      <c r="H79" t="s" s="10">
        <v>472</v>
      </c>
      <c r="I79" s="12"/>
      <c r="J79" t="s" s="10">
        <v>38</v>
      </c>
      <c r="K79" s="12"/>
      <c r="L79" s="12"/>
      <c r="M79" s="12"/>
      <c r="N79" s="12"/>
      <c r="O79" t="s" s="10">
        <v>511</v>
      </c>
      <c r="P79" t="s" s="10">
        <v>75</v>
      </c>
      <c r="Q79" t="s" s="10">
        <v>41</v>
      </c>
      <c r="R79" s="11">
        <v>112</v>
      </c>
      <c r="S79" s="12"/>
      <c r="T79" s="11">
        <v>140</v>
      </c>
      <c r="U79" s="12"/>
      <c r="V79" t="s" s="10">
        <v>56</v>
      </c>
      <c r="W79" t="s" s="10">
        <v>42</v>
      </c>
      <c r="X79" t="s" s="10">
        <v>533</v>
      </c>
      <c r="Y79" t="s" s="10">
        <v>44</v>
      </c>
      <c r="Z79" t="s" s="10">
        <v>483</v>
      </c>
      <c r="AA79" t="s" s="10">
        <v>533</v>
      </c>
      <c r="AB79" t="s" s="10">
        <v>533</v>
      </c>
      <c r="AC79" t="s" s="10">
        <v>181</v>
      </c>
      <c r="AD79" t="s" s="10">
        <v>46</v>
      </c>
      <c r="AE79" s="12"/>
    </row>
    <row r="80" ht="20.05" customHeight="1">
      <c r="A80" t="s" s="8">
        <f>"FNV-148"</f>
        <v>534</v>
      </c>
      <c r="B80" t="s" s="9">
        <v>48</v>
      </c>
      <c r="C80" t="s" s="10">
        <v>49</v>
      </c>
      <c r="D80" t="s" s="10">
        <v>102</v>
      </c>
      <c r="E80" t="s" s="10">
        <v>492</v>
      </c>
      <c r="F80" s="11">
        <v>1499</v>
      </c>
      <c r="G80" t="s" s="10">
        <v>535</v>
      </c>
      <c r="H80" t="s" s="10">
        <v>472</v>
      </c>
      <c r="I80" s="12"/>
      <c r="J80" t="s" s="10">
        <v>38</v>
      </c>
      <c r="K80" s="12"/>
      <c r="L80" s="12"/>
      <c r="M80" t="s" s="10">
        <v>292</v>
      </c>
      <c r="N80" s="12"/>
      <c r="O80" t="s" s="10">
        <v>536</v>
      </c>
      <c r="P80" t="s" s="10">
        <v>537</v>
      </c>
      <c r="Q80" t="s" s="10">
        <v>41</v>
      </c>
      <c r="R80" s="11">
        <v>112</v>
      </c>
      <c r="S80" s="12"/>
      <c r="T80" s="11">
        <v>140</v>
      </c>
      <c r="U80" s="12"/>
      <c r="V80" t="s" s="10">
        <v>56</v>
      </c>
      <c r="W80" t="s" s="10">
        <v>42</v>
      </c>
      <c r="X80" t="s" s="10">
        <v>538</v>
      </c>
      <c r="Y80" t="s" s="10">
        <v>44</v>
      </c>
      <c r="Z80" t="s" s="10">
        <v>483</v>
      </c>
      <c r="AA80" t="s" s="10">
        <v>538</v>
      </c>
      <c r="AB80" t="s" s="10">
        <v>538</v>
      </c>
      <c r="AC80" t="s" s="10">
        <v>181</v>
      </c>
      <c r="AD80" t="s" s="10">
        <v>46</v>
      </c>
      <c r="AE80" s="12"/>
    </row>
    <row r="81" ht="20.05" customHeight="1">
      <c r="A81" t="s" s="8">
        <f>"CNU-762"</f>
        <v>539</v>
      </c>
      <c r="B81" t="s" s="9">
        <v>33</v>
      </c>
      <c r="C81" t="s" s="10">
        <v>49</v>
      </c>
      <c r="D81" t="s" s="10">
        <v>102</v>
      </c>
      <c r="E81" t="s" s="10">
        <v>492</v>
      </c>
      <c r="F81" s="11">
        <v>1499</v>
      </c>
      <c r="G81" t="s" s="10">
        <v>540</v>
      </c>
      <c r="H81" t="s" s="10">
        <v>472</v>
      </c>
      <c r="I81" s="12"/>
      <c r="J81" t="s" s="10">
        <v>38</v>
      </c>
      <c r="K81" s="12"/>
      <c r="L81" s="12"/>
      <c r="M81" s="12"/>
      <c r="N81" s="12"/>
      <c r="O81" t="s" s="10">
        <v>541</v>
      </c>
      <c r="P81" t="s" s="10">
        <v>542</v>
      </c>
      <c r="Q81" t="s" s="10">
        <v>41</v>
      </c>
      <c r="R81" s="11">
        <v>112</v>
      </c>
      <c r="S81" s="12"/>
      <c r="T81" s="11">
        <v>140</v>
      </c>
      <c r="U81" s="12"/>
      <c r="V81" t="s" s="10">
        <v>56</v>
      </c>
      <c r="W81" t="s" s="10">
        <v>42</v>
      </c>
      <c r="X81" t="s" s="10">
        <v>543</v>
      </c>
      <c r="Y81" t="s" s="10">
        <v>44</v>
      </c>
      <c r="Z81" t="s" s="10">
        <v>483</v>
      </c>
      <c r="AA81" t="s" s="10">
        <v>544</v>
      </c>
      <c r="AB81" t="s" s="10">
        <v>544</v>
      </c>
      <c r="AC81" t="s" s="10">
        <v>181</v>
      </c>
      <c r="AD81" t="s" s="10">
        <v>46</v>
      </c>
      <c r="AE81" s="12"/>
    </row>
    <row r="82" ht="20.05" customHeight="1">
      <c r="A82" t="s" s="8">
        <f>"GNV-194"</f>
        <v>545</v>
      </c>
      <c r="B82" t="s" s="9">
        <v>33</v>
      </c>
      <c r="C82" t="s" s="10">
        <v>49</v>
      </c>
      <c r="D82" t="s" s="10">
        <v>102</v>
      </c>
      <c r="E82" t="s" s="10">
        <v>492</v>
      </c>
      <c r="F82" s="11">
        <v>1499</v>
      </c>
      <c r="G82" t="s" s="10">
        <v>546</v>
      </c>
      <c r="H82" t="s" s="10">
        <v>472</v>
      </c>
      <c r="I82" s="12"/>
      <c r="J82" t="s" s="10">
        <v>38</v>
      </c>
      <c r="K82" s="12"/>
      <c r="L82" s="12"/>
      <c r="M82" s="12"/>
      <c r="N82" s="12"/>
      <c r="O82" t="s" s="10">
        <v>547</v>
      </c>
      <c r="P82" t="s" s="10">
        <v>548</v>
      </c>
      <c r="Q82" t="s" s="10">
        <v>41</v>
      </c>
      <c r="R82" s="11">
        <v>112</v>
      </c>
      <c r="S82" s="12"/>
      <c r="T82" s="11">
        <v>140</v>
      </c>
      <c r="U82" s="12"/>
      <c r="V82" t="s" s="10">
        <v>56</v>
      </c>
      <c r="W82" t="s" s="10">
        <v>42</v>
      </c>
      <c r="X82" t="s" s="10">
        <v>549</v>
      </c>
      <c r="Y82" t="s" s="10">
        <v>44</v>
      </c>
      <c r="Z82" t="s" s="10">
        <v>483</v>
      </c>
      <c r="AA82" t="s" s="10">
        <v>549</v>
      </c>
      <c r="AB82" t="s" s="10">
        <v>549</v>
      </c>
      <c r="AC82" s="12"/>
      <c r="AD82" t="s" s="10">
        <v>46</v>
      </c>
      <c r="AE82" s="12"/>
    </row>
    <row r="83" ht="20.05" customHeight="1">
      <c r="A83" t="s" s="8">
        <f>"OXV-397"</f>
        <v>550</v>
      </c>
      <c r="B83" t="s" s="9">
        <v>33</v>
      </c>
      <c r="C83" t="s" s="10">
        <v>49</v>
      </c>
      <c r="D83" t="s" s="10">
        <v>102</v>
      </c>
      <c r="E83" t="s" s="10">
        <v>492</v>
      </c>
      <c r="F83" s="11">
        <v>1499</v>
      </c>
      <c r="G83" t="s" s="10">
        <v>551</v>
      </c>
      <c r="H83" t="s" s="10">
        <v>472</v>
      </c>
      <c r="I83" s="12"/>
      <c r="J83" t="s" s="10">
        <v>38</v>
      </c>
      <c r="K83" s="12"/>
      <c r="L83" s="12"/>
      <c r="M83" s="12"/>
      <c r="N83" s="12"/>
      <c r="O83" t="s" s="10">
        <v>552</v>
      </c>
      <c r="P83" t="s" s="10">
        <v>488</v>
      </c>
      <c r="Q83" t="s" s="10">
        <v>41</v>
      </c>
      <c r="R83" s="11">
        <v>112</v>
      </c>
      <c r="S83" s="12"/>
      <c r="T83" s="11">
        <v>141</v>
      </c>
      <c r="U83" s="12"/>
      <c r="V83" t="s" s="10">
        <v>56</v>
      </c>
      <c r="W83" t="s" s="10">
        <v>42</v>
      </c>
      <c r="X83" t="s" s="10">
        <v>553</v>
      </c>
      <c r="Y83" t="s" s="10">
        <v>44</v>
      </c>
      <c r="Z83" t="s" s="10">
        <v>483</v>
      </c>
      <c r="AA83" t="s" s="10">
        <v>553</v>
      </c>
      <c r="AB83" t="s" s="10">
        <v>553</v>
      </c>
      <c r="AC83" s="12"/>
      <c r="AD83" t="s" s="10">
        <v>46</v>
      </c>
      <c r="AE83" s="12"/>
    </row>
    <row r="84" ht="20.05" customHeight="1">
      <c r="A84" t="s" s="8">
        <f>"TRZ-436"</f>
        <v>554</v>
      </c>
      <c r="B84" t="s" s="9">
        <v>48</v>
      </c>
      <c r="C84" t="s" s="10">
        <v>49</v>
      </c>
      <c r="D84" t="s" s="10">
        <v>123</v>
      </c>
      <c r="E84" t="s" s="10">
        <v>555</v>
      </c>
      <c r="F84" s="11">
        <v>2143</v>
      </c>
      <c r="G84" t="s" s="10">
        <v>556</v>
      </c>
      <c r="H84" t="s" s="10">
        <v>472</v>
      </c>
      <c r="I84" s="12"/>
      <c r="J84" t="s" s="10">
        <v>38</v>
      </c>
      <c r="K84" s="12"/>
      <c r="L84" s="12"/>
      <c r="M84" t="s" s="10">
        <v>95</v>
      </c>
      <c r="N84" s="12"/>
      <c r="O84" t="s" s="10">
        <v>557</v>
      </c>
      <c r="P84" t="s" s="10">
        <v>558</v>
      </c>
      <c r="Q84" t="s" s="10">
        <v>41</v>
      </c>
      <c r="R84" s="12"/>
      <c r="S84" s="12"/>
      <c r="T84" s="12"/>
      <c r="U84" s="12"/>
      <c r="V84" t="s" s="10">
        <v>56</v>
      </c>
      <c r="W84" t="s" s="10">
        <v>42</v>
      </c>
      <c r="X84" t="s" s="10">
        <v>559</v>
      </c>
      <c r="Y84" t="s" s="10">
        <v>44</v>
      </c>
      <c r="Z84" t="s" s="10">
        <v>560</v>
      </c>
      <c r="AA84" t="s" s="10">
        <v>561</v>
      </c>
      <c r="AB84" t="s" s="10">
        <v>561</v>
      </c>
      <c r="AC84" s="12"/>
      <c r="AD84" t="s" s="10">
        <v>46</v>
      </c>
      <c r="AE84" s="12"/>
    </row>
    <row r="85" ht="20.05" customHeight="1">
      <c r="A85" t="s" s="8">
        <f>"GLH-516"</f>
        <v>562</v>
      </c>
      <c r="B85" t="s" s="9">
        <v>33</v>
      </c>
      <c r="C85" t="s" s="10">
        <v>191</v>
      </c>
      <c r="D85" t="s" s="10">
        <v>123</v>
      </c>
      <c r="E85" t="s" s="10">
        <v>166</v>
      </c>
      <c r="F85" s="11">
        <v>2143</v>
      </c>
      <c r="G85" t="s" s="10">
        <v>563</v>
      </c>
      <c r="H85" t="s" s="10">
        <v>472</v>
      </c>
      <c r="I85" s="12"/>
      <c r="J85" t="s" s="10">
        <v>38</v>
      </c>
      <c r="K85" s="12"/>
      <c r="L85" s="12"/>
      <c r="M85" t="s" s="10">
        <v>564</v>
      </c>
      <c r="N85" s="12"/>
      <c r="O85" t="s" s="10">
        <v>565</v>
      </c>
      <c r="P85" t="s" s="10">
        <v>566</v>
      </c>
      <c r="Q85" t="s" s="10">
        <v>41</v>
      </c>
      <c r="R85" s="12"/>
      <c r="S85" s="12"/>
      <c r="T85" s="12"/>
      <c r="U85" s="12"/>
      <c r="V85" t="s" s="10">
        <v>56</v>
      </c>
      <c r="W85" t="s" s="10">
        <v>567</v>
      </c>
      <c r="X85" t="s" s="10">
        <v>568</v>
      </c>
      <c r="Y85" t="s" s="10">
        <v>44</v>
      </c>
      <c r="Z85" t="s" s="10">
        <v>483</v>
      </c>
      <c r="AA85" t="s" s="10">
        <v>569</v>
      </c>
      <c r="AB85" t="s" s="10">
        <v>569</v>
      </c>
      <c r="AC85" t="s" s="10">
        <v>172</v>
      </c>
      <c r="AD85" t="s" s="10">
        <v>46</v>
      </c>
      <c r="AE85" s="12"/>
    </row>
    <row r="86" ht="20.05" customHeight="1">
      <c r="A86" t="s" s="8">
        <f>"OVS-609"</f>
        <v>570</v>
      </c>
      <c r="B86" t="s" s="9">
        <v>33</v>
      </c>
      <c r="C86" t="s" s="10">
        <v>49</v>
      </c>
      <c r="D86" t="s" s="10">
        <v>123</v>
      </c>
      <c r="E86" t="s" s="10">
        <v>166</v>
      </c>
      <c r="F86" s="11">
        <v>2143</v>
      </c>
      <c r="G86" t="s" s="10">
        <v>571</v>
      </c>
      <c r="H86" t="s" s="10">
        <v>472</v>
      </c>
      <c r="I86" s="12"/>
      <c r="J86" t="s" s="10">
        <v>38</v>
      </c>
      <c r="K86" s="12"/>
      <c r="L86" s="12"/>
      <c r="M86" t="s" s="10">
        <v>82</v>
      </c>
      <c r="N86" s="12"/>
      <c r="O86" t="s" s="10">
        <v>572</v>
      </c>
      <c r="P86" t="s" s="10">
        <v>573</v>
      </c>
      <c r="Q86" t="s" s="10">
        <v>41</v>
      </c>
      <c r="R86" s="11">
        <v>188</v>
      </c>
      <c r="S86" s="12"/>
      <c r="T86" s="12"/>
      <c r="U86" s="12"/>
      <c r="V86" t="s" s="10">
        <v>56</v>
      </c>
      <c r="W86" t="s" s="10">
        <v>567</v>
      </c>
      <c r="X86" t="s" s="10">
        <v>574</v>
      </c>
      <c r="Y86" t="s" s="10">
        <v>44</v>
      </c>
      <c r="Z86" t="s" s="10">
        <v>483</v>
      </c>
      <c r="AA86" t="s" s="10">
        <v>574</v>
      </c>
      <c r="AB86" t="s" s="10">
        <v>574</v>
      </c>
      <c r="AC86" s="12"/>
      <c r="AD86" t="s" s="10">
        <v>46</v>
      </c>
      <c r="AE86" s="12"/>
    </row>
    <row r="87" ht="20.05" customHeight="1">
      <c r="A87" t="s" s="8">
        <f>"YXO-770"</f>
        <v>575</v>
      </c>
      <c r="B87" t="s" s="9">
        <v>33</v>
      </c>
      <c r="C87" t="s" s="10">
        <v>49</v>
      </c>
      <c r="D87" t="s" s="10">
        <v>123</v>
      </c>
      <c r="E87" t="s" s="10">
        <v>166</v>
      </c>
      <c r="F87" s="11">
        <v>2143</v>
      </c>
      <c r="G87" t="s" s="10">
        <v>576</v>
      </c>
      <c r="H87" t="s" s="10">
        <v>472</v>
      </c>
      <c r="I87" s="12"/>
      <c r="J87" t="s" s="10">
        <v>157</v>
      </c>
      <c r="K87" t="s" s="10">
        <v>158</v>
      </c>
      <c r="L87" t="s" s="10">
        <v>577</v>
      </c>
      <c r="M87" t="s" s="10">
        <v>82</v>
      </c>
      <c r="N87" s="12"/>
      <c r="O87" t="s" s="10">
        <v>578</v>
      </c>
      <c r="P87" t="s" s="10">
        <v>579</v>
      </c>
      <c r="Q87" t="s" s="10">
        <v>41</v>
      </c>
      <c r="R87" s="11">
        <v>222</v>
      </c>
      <c r="S87" s="12"/>
      <c r="T87" s="11">
        <v>248</v>
      </c>
      <c r="U87" s="12"/>
      <c r="V87" t="s" s="10">
        <v>56</v>
      </c>
      <c r="W87" t="s" s="10">
        <v>567</v>
      </c>
      <c r="X87" t="s" s="10">
        <v>246</v>
      </c>
      <c r="Y87" t="s" s="10">
        <v>44</v>
      </c>
      <c r="Z87" t="s" s="10">
        <v>580</v>
      </c>
      <c r="AA87" t="s" s="10">
        <v>581</v>
      </c>
      <c r="AB87" t="s" s="10">
        <v>581</v>
      </c>
      <c r="AC87" s="12"/>
      <c r="AD87" t="s" s="10">
        <v>46</v>
      </c>
      <c r="AE87" s="12"/>
    </row>
    <row r="88" ht="20.05" customHeight="1">
      <c r="A88" t="s" s="8">
        <f>"OZS-866"</f>
        <v>582</v>
      </c>
      <c r="B88" t="s" s="9">
        <v>33</v>
      </c>
      <c r="C88" t="s" s="10">
        <v>49</v>
      </c>
      <c r="D88" t="s" s="10">
        <v>123</v>
      </c>
      <c r="E88" t="s" s="10">
        <v>166</v>
      </c>
      <c r="F88" s="11">
        <v>1950</v>
      </c>
      <c r="G88" t="s" s="10">
        <v>583</v>
      </c>
      <c r="H88" t="s" s="10">
        <v>472</v>
      </c>
      <c r="I88" s="12"/>
      <c r="J88" t="s" s="10">
        <v>157</v>
      </c>
      <c r="K88" t="s" s="10">
        <v>158</v>
      </c>
      <c r="L88" t="s" s="10">
        <v>577</v>
      </c>
      <c r="M88" t="s" s="10">
        <v>82</v>
      </c>
      <c r="N88" s="12"/>
      <c r="O88" t="s" s="10">
        <v>584</v>
      </c>
      <c r="P88" t="s" s="10">
        <v>585</v>
      </c>
      <c r="Q88" t="s" s="10">
        <v>41</v>
      </c>
      <c r="R88" s="12"/>
      <c r="S88" s="12"/>
      <c r="T88" s="11">
        <v>253</v>
      </c>
      <c r="U88" s="12"/>
      <c r="V88" t="s" s="10">
        <v>56</v>
      </c>
      <c r="W88" t="s" s="10">
        <v>567</v>
      </c>
      <c r="X88" t="s" s="10">
        <v>586</v>
      </c>
      <c r="Y88" t="s" s="10">
        <v>44</v>
      </c>
      <c r="Z88" t="s" s="10">
        <v>586</v>
      </c>
      <c r="AA88" t="s" s="10">
        <v>584</v>
      </c>
      <c r="AB88" t="s" s="10">
        <v>584</v>
      </c>
      <c r="AC88" s="12"/>
      <c r="AD88" t="s" s="10">
        <v>46</v>
      </c>
      <c r="AE88" s="12"/>
    </row>
    <row r="89" ht="20.05" customHeight="1">
      <c r="A89" t="s" s="8">
        <f>"KVJ-644"</f>
        <v>587</v>
      </c>
      <c r="B89" t="s" s="9">
        <v>33</v>
      </c>
      <c r="C89" t="s" s="10">
        <v>49</v>
      </c>
      <c r="D89" t="s" s="10">
        <v>123</v>
      </c>
      <c r="E89" t="s" s="10">
        <v>166</v>
      </c>
      <c r="F89" s="11">
        <v>1950</v>
      </c>
      <c r="G89" t="s" s="10">
        <v>588</v>
      </c>
      <c r="H89" t="s" s="10">
        <v>472</v>
      </c>
      <c r="I89" s="12"/>
      <c r="J89" t="s" s="10">
        <v>157</v>
      </c>
      <c r="K89" t="s" s="10">
        <v>158</v>
      </c>
      <c r="L89" t="s" s="10">
        <v>577</v>
      </c>
      <c r="M89" t="s" s="10">
        <v>82</v>
      </c>
      <c r="N89" s="12"/>
      <c r="O89" t="s" s="10">
        <v>589</v>
      </c>
      <c r="P89" t="s" s="10">
        <v>590</v>
      </c>
      <c r="Q89" t="s" s="10">
        <v>41</v>
      </c>
      <c r="R89" s="12"/>
      <c r="S89" s="12"/>
      <c r="T89" s="11">
        <v>250</v>
      </c>
      <c r="U89" s="12"/>
      <c r="V89" t="s" s="10">
        <v>56</v>
      </c>
      <c r="W89" t="s" s="10">
        <v>567</v>
      </c>
      <c r="X89" t="s" s="10">
        <v>589</v>
      </c>
      <c r="Y89" t="s" s="10">
        <v>44</v>
      </c>
      <c r="Z89" t="s" s="10">
        <v>591</v>
      </c>
      <c r="AA89" t="s" s="10">
        <v>589</v>
      </c>
      <c r="AB89" t="s" s="10">
        <v>589</v>
      </c>
      <c r="AC89" s="12"/>
      <c r="AD89" t="s" s="10">
        <v>46</v>
      </c>
      <c r="AE89" s="12"/>
    </row>
    <row r="90" ht="20.05" customHeight="1">
      <c r="A90" t="s" s="8">
        <f>"IHL-945"</f>
        <v>592</v>
      </c>
      <c r="B90" t="s" s="9">
        <v>33</v>
      </c>
      <c r="C90" t="s" s="10">
        <v>49</v>
      </c>
      <c r="D90" t="s" s="10">
        <v>256</v>
      </c>
      <c r="E90" t="s" s="10">
        <v>593</v>
      </c>
      <c r="F90" s="11">
        <v>1896</v>
      </c>
      <c r="G90" t="s" s="10">
        <v>594</v>
      </c>
      <c r="H90" t="s" s="10">
        <v>472</v>
      </c>
      <c r="I90" s="12"/>
      <c r="J90" t="s" s="10">
        <v>38</v>
      </c>
      <c r="K90" s="12"/>
      <c r="L90" s="12"/>
      <c r="M90" t="s" s="10">
        <v>82</v>
      </c>
      <c r="N90" s="12"/>
      <c r="O90" t="s" s="10">
        <v>160</v>
      </c>
      <c r="P90" t="s" s="10">
        <v>161</v>
      </c>
      <c r="Q90" t="s" s="10">
        <v>41</v>
      </c>
      <c r="R90" s="11">
        <v>182</v>
      </c>
      <c r="S90" s="12"/>
      <c r="T90" s="12"/>
      <c r="U90" s="12"/>
      <c r="V90" t="s" s="10">
        <v>56</v>
      </c>
      <c r="W90" t="s" s="10">
        <v>42</v>
      </c>
      <c r="X90" t="s" s="10">
        <v>595</v>
      </c>
      <c r="Y90" t="s" s="10">
        <v>44</v>
      </c>
      <c r="Z90" t="s" s="10">
        <v>596</v>
      </c>
      <c r="AA90" t="s" s="10">
        <v>597</v>
      </c>
      <c r="AB90" t="s" s="10">
        <v>597</v>
      </c>
      <c r="AC90" s="12"/>
      <c r="AD90" t="s" s="10">
        <v>46</v>
      </c>
      <c r="AE90" s="12"/>
    </row>
    <row r="91" ht="20.05" customHeight="1">
      <c r="A91" t="s" s="8">
        <f>"OMZ-273"</f>
        <v>598</v>
      </c>
      <c r="B91" t="s" s="9">
        <v>33</v>
      </c>
      <c r="C91" t="s" s="10">
        <v>49</v>
      </c>
      <c r="D91" t="s" s="10">
        <v>256</v>
      </c>
      <c r="E91" t="s" s="10">
        <v>257</v>
      </c>
      <c r="F91" s="11">
        <v>1896</v>
      </c>
      <c r="G91" t="s" s="10">
        <v>599</v>
      </c>
      <c r="H91" t="s" s="10">
        <v>472</v>
      </c>
      <c r="I91" s="12"/>
      <c r="J91" t="s" s="10">
        <v>38</v>
      </c>
      <c r="K91" s="12"/>
      <c r="L91" s="12"/>
      <c r="M91" t="s" s="10">
        <v>82</v>
      </c>
      <c r="N91" s="12"/>
      <c r="O91" t="s" s="10">
        <v>206</v>
      </c>
      <c r="P91" t="s" s="10">
        <v>600</v>
      </c>
      <c r="Q91" t="s" s="10">
        <v>41</v>
      </c>
      <c r="R91" s="11">
        <v>177</v>
      </c>
      <c r="S91" s="12"/>
      <c r="T91" s="12"/>
      <c r="U91" s="12"/>
      <c r="V91" t="s" s="10">
        <v>56</v>
      </c>
      <c r="W91" t="s" s="10">
        <v>42</v>
      </c>
      <c r="X91" t="s" s="10">
        <v>601</v>
      </c>
      <c r="Y91" t="s" s="10">
        <v>44</v>
      </c>
      <c r="Z91" t="s" s="10">
        <v>602</v>
      </c>
      <c r="AA91" t="s" s="10">
        <v>603</v>
      </c>
      <c r="AB91" t="s" s="10">
        <v>603</v>
      </c>
      <c r="AC91" s="12"/>
      <c r="AD91" t="s" s="10">
        <v>46</v>
      </c>
      <c r="AE91" s="12"/>
    </row>
    <row r="92" ht="20.05" customHeight="1">
      <c r="A92" t="s" s="8">
        <f>"IJP-444"</f>
        <v>604</v>
      </c>
      <c r="B92" t="s" s="9">
        <v>33</v>
      </c>
      <c r="C92" t="s" s="10">
        <v>49</v>
      </c>
      <c r="D92" t="s" s="10">
        <v>256</v>
      </c>
      <c r="E92" t="s" s="10">
        <v>257</v>
      </c>
      <c r="F92" s="11">
        <v>1598</v>
      </c>
      <c r="G92" t="s" s="10">
        <v>605</v>
      </c>
      <c r="H92" t="s" s="10">
        <v>472</v>
      </c>
      <c r="I92" s="12"/>
      <c r="J92" t="s" s="10">
        <v>38</v>
      </c>
      <c r="K92" s="12"/>
      <c r="L92" s="12"/>
      <c r="M92" t="s" s="10">
        <v>82</v>
      </c>
      <c r="N92" s="12"/>
      <c r="O92" t="s" s="10">
        <v>606</v>
      </c>
      <c r="P92" t="s" s="10">
        <v>607</v>
      </c>
      <c r="Q92" t="s" s="10">
        <v>41</v>
      </c>
      <c r="R92" s="11">
        <v>152</v>
      </c>
      <c r="S92" s="12"/>
      <c r="T92" s="12"/>
      <c r="U92" s="12"/>
      <c r="V92" t="s" s="10">
        <v>56</v>
      </c>
      <c r="W92" t="s" s="10">
        <v>42</v>
      </c>
      <c r="X92" t="s" s="10">
        <v>608</v>
      </c>
      <c r="Y92" t="s" s="10">
        <v>44</v>
      </c>
      <c r="Z92" t="s" s="10">
        <v>262</v>
      </c>
      <c r="AA92" t="s" s="10">
        <v>609</v>
      </c>
      <c r="AB92" t="s" s="10">
        <v>609</v>
      </c>
      <c r="AC92" s="12"/>
      <c r="AD92" t="s" s="10">
        <v>46</v>
      </c>
      <c r="AE92" s="12"/>
    </row>
    <row r="93" ht="20.05" customHeight="1">
      <c r="A93" t="s" s="8">
        <f>"YHU-776"</f>
        <v>610</v>
      </c>
      <c r="B93" t="s" s="9">
        <v>48</v>
      </c>
      <c r="C93" t="s" s="10">
        <v>49</v>
      </c>
      <c r="D93" t="s" s="10">
        <v>469</v>
      </c>
      <c r="E93" t="s" s="10">
        <v>470</v>
      </c>
      <c r="F93" s="11">
        <v>1461</v>
      </c>
      <c r="G93" t="s" s="10">
        <v>611</v>
      </c>
      <c r="H93" t="s" s="10">
        <v>612</v>
      </c>
      <c r="I93" s="12"/>
      <c r="J93" t="s" s="10">
        <v>38</v>
      </c>
      <c r="K93" s="12"/>
      <c r="L93" s="12"/>
      <c r="M93" t="s" s="10">
        <v>95</v>
      </c>
      <c r="N93" s="12"/>
      <c r="O93" t="s" s="10">
        <v>591</v>
      </c>
      <c r="P93" t="s" s="10">
        <v>613</v>
      </c>
      <c r="Q93" t="s" s="10">
        <v>41</v>
      </c>
      <c r="R93" s="11">
        <v>135</v>
      </c>
      <c r="S93" s="12"/>
      <c r="T93" s="12"/>
      <c r="U93" s="12"/>
      <c r="V93" t="s" s="10">
        <v>56</v>
      </c>
      <c r="W93" t="s" s="10">
        <v>42</v>
      </c>
      <c r="X93" t="s" s="10">
        <v>614</v>
      </c>
      <c r="Y93" t="s" s="10">
        <v>44</v>
      </c>
      <c r="Z93" t="s" s="10">
        <v>615</v>
      </c>
      <c r="AA93" t="s" s="10">
        <v>616</v>
      </c>
      <c r="AB93" t="s" s="10">
        <v>616</v>
      </c>
      <c r="AC93" t="s" s="10">
        <v>59</v>
      </c>
      <c r="AD93" t="s" s="10">
        <v>46</v>
      </c>
      <c r="AE93" s="12"/>
    </row>
    <row r="94" ht="20.05" customHeight="1">
      <c r="A94" t="s" s="8">
        <f>"ILP-291"</f>
        <v>617</v>
      </c>
      <c r="B94" t="s" s="9">
        <v>33</v>
      </c>
      <c r="C94" t="s" s="10">
        <v>49</v>
      </c>
      <c r="D94" t="s" s="10">
        <v>469</v>
      </c>
      <c r="E94" t="s" s="10">
        <v>470</v>
      </c>
      <c r="F94" s="11">
        <v>1461</v>
      </c>
      <c r="G94" t="s" s="10">
        <v>618</v>
      </c>
      <c r="H94" t="s" s="10">
        <v>612</v>
      </c>
      <c r="I94" s="12"/>
      <c r="J94" t="s" s="10">
        <v>38</v>
      </c>
      <c r="K94" s="12"/>
      <c r="L94" s="12"/>
      <c r="M94" t="s" s="10">
        <v>82</v>
      </c>
      <c r="N94" s="12"/>
      <c r="O94" t="s" s="10">
        <v>619</v>
      </c>
      <c r="P94" t="s" s="10">
        <v>620</v>
      </c>
      <c r="Q94" t="s" s="10">
        <v>41</v>
      </c>
      <c r="R94" s="11">
        <v>135</v>
      </c>
      <c r="S94" s="12"/>
      <c r="T94" s="12"/>
      <c r="U94" s="12"/>
      <c r="V94" t="s" s="10">
        <v>56</v>
      </c>
      <c r="W94" t="s" s="10">
        <v>42</v>
      </c>
      <c r="X94" t="s" s="10">
        <v>621</v>
      </c>
      <c r="Y94" t="s" s="10">
        <v>44</v>
      </c>
      <c r="Z94" t="s" s="10">
        <v>615</v>
      </c>
      <c r="AA94" t="s" s="10">
        <v>622</v>
      </c>
      <c r="AB94" t="s" s="10">
        <v>622</v>
      </c>
      <c r="AC94" t="s" s="10">
        <v>59</v>
      </c>
      <c r="AD94" t="s" s="10">
        <v>46</v>
      </c>
      <c r="AE94" s="12"/>
    </row>
    <row r="95" ht="20.05" customHeight="1">
      <c r="A95" t="s" s="8">
        <f>"SLH-464"</f>
        <v>623</v>
      </c>
      <c r="B95" t="s" s="9">
        <v>33</v>
      </c>
      <c r="C95" t="s" s="10">
        <v>49</v>
      </c>
      <c r="D95" t="s" s="10">
        <v>469</v>
      </c>
      <c r="E95" t="s" s="10">
        <v>470</v>
      </c>
      <c r="F95" s="11">
        <v>1461</v>
      </c>
      <c r="G95" t="s" s="10">
        <v>624</v>
      </c>
      <c r="H95" t="s" s="10">
        <v>612</v>
      </c>
      <c r="I95" s="12"/>
      <c r="J95" t="s" s="10">
        <v>38</v>
      </c>
      <c r="K95" s="12"/>
      <c r="L95" s="12"/>
      <c r="M95" t="s" s="10">
        <v>82</v>
      </c>
      <c r="N95" s="12"/>
      <c r="O95" t="s" s="10">
        <v>625</v>
      </c>
      <c r="P95" t="s" s="10">
        <v>626</v>
      </c>
      <c r="Q95" t="s" s="10">
        <v>41</v>
      </c>
      <c r="R95" s="11">
        <v>137</v>
      </c>
      <c r="S95" s="12"/>
      <c r="T95" s="12"/>
      <c r="U95" s="12"/>
      <c r="V95" t="s" s="10">
        <v>56</v>
      </c>
      <c r="W95" t="s" s="10">
        <v>42</v>
      </c>
      <c r="X95" t="s" s="10">
        <v>352</v>
      </c>
      <c r="Y95" t="s" s="10">
        <v>44</v>
      </c>
      <c r="Z95" t="s" s="10">
        <v>615</v>
      </c>
      <c r="AA95" t="s" s="10">
        <v>627</v>
      </c>
      <c r="AB95" t="s" s="10">
        <v>627</v>
      </c>
      <c r="AC95" t="s" s="10">
        <v>59</v>
      </c>
      <c r="AD95" t="s" s="10">
        <v>46</v>
      </c>
      <c r="AE95" s="12"/>
    </row>
    <row r="96" ht="20.05" customHeight="1">
      <c r="A96" t="s" s="8">
        <f>"NKE-749"</f>
        <v>628</v>
      </c>
      <c r="B96" t="s" s="9">
        <v>48</v>
      </c>
      <c r="C96" t="s" s="10">
        <v>49</v>
      </c>
      <c r="D96" t="s" s="10">
        <v>469</v>
      </c>
      <c r="E96" t="s" s="10">
        <v>470</v>
      </c>
      <c r="F96" s="11">
        <v>1461</v>
      </c>
      <c r="G96" t="s" s="10">
        <v>629</v>
      </c>
      <c r="H96" t="s" s="10">
        <v>612</v>
      </c>
      <c r="I96" s="12"/>
      <c r="J96" t="s" s="10">
        <v>38</v>
      </c>
      <c r="K96" s="12"/>
      <c r="L96" s="12"/>
      <c r="M96" t="s" s="10">
        <v>95</v>
      </c>
      <c r="N96" s="12"/>
      <c r="O96" t="s" s="10">
        <v>630</v>
      </c>
      <c r="P96" t="s" s="10">
        <v>631</v>
      </c>
      <c r="Q96" t="s" s="10">
        <v>41</v>
      </c>
      <c r="R96" s="11">
        <v>123</v>
      </c>
      <c r="S96" s="12"/>
      <c r="T96" s="12"/>
      <c r="U96" s="12"/>
      <c r="V96" t="s" s="10">
        <v>56</v>
      </c>
      <c r="W96" t="s" s="10">
        <v>42</v>
      </c>
      <c r="X96" t="s" s="10">
        <v>632</v>
      </c>
      <c r="Y96" t="s" s="10">
        <v>44</v>
      </c>
      <c r="Z96" t="s" s="10">
        <v>615</v>
      </c>
      <c r="AA96" t="s" s="10">
        <v>633</v>
      </c>
      <c r="AB96" t="s" s="10">
        <v>633</v>
      </c>
      <c r="AC96" t="s" s="10">
        <v>181</v>
      </c>
      <c r="AD96" t="s" s="10">
        <v>46</v>
      </c>
      <c r="AE96" s="12"/>
    </row>
    <row r="97" ht="20.05" customHeight="1">
      <c r="A97" t="s" s="8">
        <f>"CLA-346"</f>
        <v>634</v>
      </c>
      <c r="B97" t="s" s="9">
        <v>33</v>
      </c>
      <c r="C97" t="s" s="10">
        <v>49</v>
      </c>
      <c r="D97" t="s" s="10">
        <v>469</v>
      </c>
      <c r="E97" t="s" s="10">
        <v>635</v>
      </c>
      <c r="F97" s="11">
        <v>1461</v>
      </c>
      <c r="G97" t="s" s="10">
        <v>636</v>
      </c>
      <c r="H97" t="s" s="10">
        <v>612</v>
      </c>
      <c r="I97" s="12"/>
      <c r="J97" t="s" s="10">
        <v>38</v>
      </c>
      <c r="K97" s="12"/>
      <c r="L97" s="12"/>
      <c r="M97" s="12"/>
      <c r="N97" s="12"/>
      <c r="O97" t="s" s="10">
        <v>477</v>
      </c>
      <c r="P97" t="s" s="10">
        <v>63</v>
      </c>
      <c r="Q97" t="s" s="10">
        <v>41</v>
      </c>
      <c r="R97" s="11">
        <v>108</v>
      </c>
      <c r="S97" s="12"/>
      <c r="T97" s="12"/>
      <c r="U97" s="12"/>
      <c r="V97" t="s" s="10">
        <v>56</v>
      </c>
      <c r="W97" t="s" s="10">
        <v>42</v>
      </c>
      <c r="X97" t="s" s="10">
        <v>637</v>
      </c>
      <c r="Y97" t="s" s="10">
        <v>44</v>
      </c>
      <c r="Z97" t="s" s="10">
        <v>615</v>
      </c>
      <c r="AA97" t="s" s="10">
        <v>638</v>
      </c>
      <c r="AB97" t="s" s="10">
        <v>638</v>
      </c>
      <c r="AC97" s="12"/>
      <c r="AD97" t="s" s="10">
        <v>46</v>
      </c>
      <c r="AE97" s="12"/>
    </row>
    <row r="98" ht="20.05" customHeight="1">
      <c r="A98" t="s" s="8">
        <f>"CLC-149"</f>
        <v>639</v>
      </c>
      <c r="B98" t="s" s="9">
        <v>33</v>
      </c>
      <c r="C98" t="s" s="10">
        <v>49</v>
      </c>
      <c r="D98" t="s" s="10">
        <v>469</v>
      </c>
      <c r="E98" t="s" s="10">
        <v>470</v>
      </c>
      <c r="F98" s="11">
        <v>1461</v>
      </c>
      <c r="G98" t="s" s="10">
        <v>640</v>
      </c>
      <c r="H98" t="s" s="10">
        <v>612</v>
      </c>
      <c r="I98" s="12"/>
      <c r="J98" t="s" s="10">
        <v>38</v>
      </c>
      <c r="K98" s="12"/>
      <c r="L98" s="12"/>
      <c r="M98" t="s" s="10">
        <v>82</v>
      </c>
      <c r="N98" s="12"/>
      <c r="O98" t="s" s="10">
        <v>641</v>
      </c>
      <c r="P98" t="s" s="10">
        <v>642</v>
      </c>
      <c r="Q98" t="s" s="10">
        <v>41</v>
      </c>
      <c r="R98" s="11">
        <v>123</v>
      </c>
      <c r="S98" s="12"/>
      <c r="T98" s="12"/>
      <c r="U98" s="12"/>
      <c r="V98" t="s" s="10">
        <v>56</v>
      </c>
      <c r="W98" t="s" s="10">
        <v>42</v>
      </c>
      <c r="X98" t="s" s="10">
        <v>643</v>
      </c>
      <c r="Y98" t="s" s="10">
        <v>44</v>
      </c>
      <c r="Z98" t="s" s="10">
        <v>615</v>
      </c>
      <c r="AA98" t="s" s="10">
        <v>644</v>
      </c>
      <c r="AB98" t="s" s="10">
        <v>644</v>
      </c>
      <c r="AC98" t="s" s="10">
        <v>181</v>
      </c>
      <c r="AD98" t="s" s="10">
        <v>46</v>
      </c>
      <c r="AE98" s="12"/>
    </row>
    <row r="99" ht="20.05" customHeight="1">
      <c r="A99" t="s" s="8">
        <f>"CLP-722"</f>
        <v>645</v>
      </c>
      <c r="B99" t="s" s="9">
        <v>33</v>
      </c>
      <c r="C99" t="s" s="10">
        <v>49</v>
      </c>
      <c r="D99" t="s" s="10">
        <v>469</v>
      </c>
      <c r="E99" t="s" s="10">
        <v>470</v>
      </c>
      <c r="F99" s="11">
        <v>1461</v>
      </c>
      <c r="G99" t="s" s="10">
        <v>646</v>
      </c>
      <c r="H99" t="s" s="10">
        <v>612</v>
      </c>
      <c r="I99" s="12"/>
      <c r="J99" t="s" s="10">
        <v>38</v>
      </c>
      <c r="K99" s="12"/>
      <c r="L99" s="12"/>
      <c r="M99" t="s" s="10">
        <v>82</v>
      </c>
      <c r="N99" s="12"/>
      <c r="O99" t="s" s="10">
        <v>311</v>
      </c>
      <c r="P99" t="s" s="10">
        <v>647</v>
      </c>
      <c r="Q99" t="s" s="10">
        <v>41</v>
      </c>
      <c r="R99" s="11">
        <v>116</v>
      </c>
      <c r="S99" s="12"/>
      <c r="T99" s="12"/>
      <c r="U99" s="12"/>
      <c r="V99" t="s" s="10">
        <v>56</v>
      </c>
      <c r="W99" t="s" s="10">
        <v>42</v>
      </c>
      <c r="X99" t="s" s="10">
        <v>311</v>
      </c>
      <c r="Y99" t="s" s="10">
        <v>44</v>
      </c>
      <c r="Z99" t="s" s="10">
        <v>615</v>
      </c>
      <c r="AA99" t="s" s="10">
        <v>648</v>
      </c>
      <c r="AB99" t="s" s="10">
        <v>648</v>
      </c>
      <c r="AC99" t="s" s="10">
        <v>181</v>
      </c>
      <c r="AD99" t="s" s="10">
        <v>46</v>
      </c>
      <c r="AE99" s="12"/>
    </row>
    <row r="100" ht="20.05" customHeight="1">
      <c r="A100" t="s" s="8">
        <f>"YJX-921"</f>
        <v>649</v>
      </c>
      <c r="B100" t="s" s="9">
        <v>33</v>
      </c>
      <c r="C100" t="s" s="10">
        <v>49</v>
      </c>
      <c r="D100" t="s" s="10">
        <v>469</v>
      </c>
      <c r="E100" t="s" s="10">
        <v>635</v>
      </c>
      <c r="F100" s="11">
        <v>1461</v>
      </c>
      <c r="G100" t="s" s="10">
        <v>650</v>
      </c>
      <c r="H100" t="s" s="10">
        <v>612</v>
      </c>
      <c r="I100" s="12"/>
      <c r="J100" t="s" s="10">
        <v>38</v>
      </c>
      <c r="K100" s="12"/>
      <c r="L100" s="12"/>
      <c r="M100" s="12"/>
      <c r="N100" s="12"/>
      <c r="O100" t="s" s="10">
        <v>651</v>
      </c>
      <c r="P100" t="s" s="10">
        <v>652</v>
      </c>
      <c r="Q100" t="s" s="10">
        <v>41</v>
      </c>
      <c r="R100" s="11">
        <v>108</v>
      </c>
      <c r="S100" s="12"/>
      <c r="T100" s="12"/>
      <c r="U100" s="12"/>
      <c r="V100" t="s" s="10">
        <v>56</v>
      </c>
      <c r="W100" t="s" s="10">
        <v>42</v>
      </c>
      <c r="X100" t="s" s="10">
        <v>653</v>
      </c>
      <c r="Y100" t="s" s="10">
        <v>44</v>
      </c>
      <c r="Z100" t="s" s="10">
        <v>615</v>
      </c>
      <c r="AA100" t="s" s="10">
        <v>654</v>
      </c>
      <c r="AB100" t="s" s="10">
        <v>654</v>
      </c>
      <c r="AC100" s="12"/>
      <c r="AD100" t="s" s="10">
        <v>46</v>
      </c>
      <c r="AE100" s="12"/>
    </row>
    <row r="101" ht="20.05" customHeight="1">
      <c r="A101" t="s" s="8">
        <f>"CNU-450"</f>
        <v>655</v>
      </c>
      <c r="B101" t="s" s="9">
        <v>33</v>
      </c>
      <c r="C101" t="s" s="10">
        <v>49</v>
      </c>
      <c r="D101" t="s" s="10">
        <v>469</v>
      </c>
      <c r="E101" t="s" s="10">
        <v>635</v>
      </c>
      <c r="F101" s="11">
        <v>1461</v>
      </c>
      <c r="G101" t="s" s="10">
        <v>656</v>
      </c>
      <c r="H101" t="s" s="10">
        <v>612</v>
      </c>
      <c r="I101" s="12"/>
      <c r="J101" t="s" s="10">
        <v>38</v>
      </c>
      <c r="K101" s="12"/>
      <c r="L101" s="12"/>
      <c r="M101" s="12"/>
      <c r="N101" s="12"/>
      <c r="O101" t="s" s="10">
        <v>657</v>
      </c>
      <c r="P101" t="s" s="10">
        <v>658</v>
      </c>
      <c r="Q101" t="s" s="10">
        <v>41</v>
      </c>
      <c r="R101" s="11">
        <v>108</v>
      </c>
      <c r="S101" s="12"/>
      <c r="T101" s="12"/>
      <c r="U101" s="12"/>
      <c r="V101" t="s" s="10">
        <v>56</v>
      </c>
      <c r="W101" t="s" s="10">
        <v>42</v>
      </c>
      <c r="X101" t="s" s="10">
        <v>262</v>
      </c>
      <c r="Y101" t="s" s="10">
        <v>44</v>
      </c>
      <c r="Z101" t="s" s="10">
        <v>615</v>
      </c>
      <c r="AA101" t="s" s="10">
        <v>659</v>
      </c>
      <c r="AB101" t="s" s="10">
        <v>659</v>
      </c>
      <c r="AC101" s="12"/>
      <c r="AD101" t="s" s="10">
        <v>46</v>
      </c>
      <c r="AE101" s="12"/>
    </row>
    <row r="102" ht="20.05" customHeight="1">
      <c r="A102" t="s" s="8">
        <f>"CNU-451"</f>
        <v>660</v>
      </c>
      <c r="B102" t="s" s="9">
        <v>33</v>
      </c>
      <c r="C102" t="s" s="10">
        <v>49</v>
      </c>
      <c r="D102" t="s" s="10">
        <v>469</v>
      </c>
      <c r="E102" t="s" s="10">
        <v>635</v>
      </c>
      <c r="F102" s="11">
        <v>1461</v>
      </c>
      <c r="G102" t="s" s="10">
        <v>661</v>
      </c>
      <c r="H102" t="s" s="10">
        <v>612</v>
      </c>
      <c r="I102" s="12"/>
      <c r="J102" t="s" s="10">
        <v>38</v>
      </c>
      <c r="K102" s="12"/>
      <c r="L102" s="12"/>
      <c r="M102" s="12"/>
      <c r="N102" s="12"/>
      <c r="O102" t="s" s="10">
        <v>662</v>
      </c>
      <c r="P102" t="s" s="10">
        <v>663</v>
      </c>
      <c r="Q102" t="s" s="10">
        <v>41</v>
      </c>
      <c r="R102" s="11">
        <v>108</v>
      </c>
      <c r="S102" s="12"/>
      <c r="T102" s="12"/>
      <c r="U102" s="12"/>
      <c r="V102" t="s" s="10">
        <v>56</v>
      </c>
      <c r="W102" t="s" s="10">
        <v>42</v>
      </c>
      <c r="X102" t="s" s="10">
        <v>54</v>
      </c>
      <c r="Y102" t="s" s="10">
        <v>44</v>
      </c>
      <c r="Z102" t="s" s="10">
        <v>615</v>
      </c>
      <c r="AA102" t="s" s="10">
        <v>659</v>
      </c>
      <c r="AB102" t="s" s="10">
        <v>659</v>
      </c>
      <c r="AC102" s="12"/>
      <c r="AD102" t="s" s="10">
        <v>46</v>
      </c>
      <c r="AE102" s="12"/>
    </row>
    <row r="103" ht="20.05" customHeight="1">
      <c r="A103" t="s" s="8">
        <f>"MYZ-550"</f>
        <v>664</v>
      </c>
      <c r="B103" t="s" s="9">
        <v>33</v>
      </c>
      <c r="C103" t="s" s="10">
        <v>49</v>
      </c>
      <c r="D103" t="s" s="10">
        <v>469</v>
      </c>
      <c r="E103" t="s" s="10">
        <v>470</v>
      </c>
      <c r="F103" s="11">
        <v>1461</v>
      </c>
      <c r="G103" t="s" s="10">
        <v>665</v>
      </c>
      <c r="H103" t="s" s="10">
        <v>612</v>
      </c>
      <c r="I103" s="12"/>
      <c r="J103" t="s" s="10">
        <v>157</v>
      </c>
      <c r="K103" t="s" s="10">
        <v>158</v>
      </c>
      <c r="L103" t="s" s="10">
        <v>666</v>
      </c>
      <c r="M103" t="s" s="10">
        <v>82</v>
      </c>
      <c r="N103" s="12"/>
      <c r="O103" t="s" s="10">
        <v>667</v>
      </c>
      <c r="P103" t="s" s="10">
        <v>223</v>
      </c>
      <c r="Q103" t="s" s="10">
        <v>41</v>
      </c>
      <c r="R103" s="11">
        <v>117</v>
      </c>
      <c r="S103" s="12"/>
      <c r="T103" s="11">
        <v>147</v>
      </c>
      <c r="U103" s="12"/>
      <c r="V103" t="s" s="10">
        <v>56</v>
      </c>
      <c r="W103" t="s" s="10">
        <v>42</v>
      </c>
      <c r="X103" t="s" s="10">
        <v>668</v>
      </c>
      <c r="Y103" t="s" s="10">
        <v>44</v>
      </c>
      <c r="Z103" t="s" s="10">
        <v>615</v>
      </c>
      <c r="AA103" t="s" s="10">
        <v>669</v>
      </c>
      <c r="AB103" t="s" s="10">
        <v>669</v>
      </c>
      <c r="AC103" t="s" s="10">
        <v>181</v>
      </c>
      <c r="AD103" t="s" s="10">
        <v>46</v>
      </c>
      <c r="AE103" s="12"/>
    </row>
    <row r="104" ht="20.05" customHeight="1">
      <c r="A104" t="s" s="8">
        <f>"CLC-612"</f>
        <v>670</v>
      </c>
      <c r="B104" t="s" s="9">
        <v>33</v>
      </c>
      <c r="C104" t="s" s="10">
        <v>49</v>
      </c>
      <c r="D104" t="s" s="10">
        <v>102</v>
      </c>
      <c r="E104" t="s" s="10">
        <v>671</v>
      </c>
      <c r="F104" s="11">
        <v>1499</v>
      </c>
      <c r="G104" t="s" s="10">
        <v>672</v>
      </c>
      <c r="H104" t="s" s="10">
        <v>612</v>
      </c>
      <c r="I104" s="12"/>
      <c r="J104" t="s" s="10">
        <v>157</v>
      </c>
      <c r="K104" t="s" s="10">
        <v>158</v>
      </c>
      <c r="L104" t="s" s="10">
        <v>666</v>
      </c>
      <c r="M104" s="12"/>
      <c r="N104" s="12"/>
      <c r="O104" t="s" s="10">
        <v>673</v>
      </c>
      <c r="P104" t="s" s="10">
        <v>674</v>
      </c>
      <c r="Q104" t="s" s="10">
        <v>41</v>
      </c>
      <c r="R104" s="11">
        <v>111</v>
      </c>
      <c r="S104" s="12"/>
      <c r="T104" s="12"/>
      <c r="U104" s="12"/>
      <c r="V104" t="s" s="10">
        <v>56</v>
      </c>
      <c r="W104" t="s" s="10">
        <v>42</v>
      </c>
      <c r="X104" t="s" s="10">
        <v>675</v>
      </c>
      <c r="Y104" t="s" s="10">
        <v>44</v>
      </c>
      <c r="Z104" t="s" s="10">
        <v>615</v>
      </c>
      <c r="AA104" t="s" s="10">
        <v>676</v>
      </c>
      <c r="AB104" t="s" s="10">
        <v>676</v>
      </c>
      <c r="AC104" s="12"/>
      <c r="AD104" t="s" s="10">
        <v>46</v>
      </c>
      <c r="AE104" s="12"/>
    </row>
    <row r="105" ht="20.05" customHeight="1">
      <c r="A105" t="s" s="8">
        <f>"MVI-417"</f>
        <v>677</v>
      </c>
      <c r="B105" t="s" s="9">
        <v>33</v>
      </c>
      <c r="C105" t="s" s="10">
        <v>49</v>
      </c>
      <c r="D105" t="s" s="10">
        <v>678</v>
      </c>
      <c r="E105" t="s" s="10">
        <v>679</v>
      </c>
      <c r="F105" s="11">
        <v>1582</v>
      </c>
      <c r="G105" t="s" s="10">
        <v>680</v>
      </c>
      <c r="H105" t="s" s="10">
        <v>612</v>
      </c>
      <c r="I105" s="12"/>
      <c r="J105" t="s" s="10">
        <v>38</v>
      </c>
      <c r="K105" s="12"/>
      <c r="L105" s="12"/>
      <c r="M105" t="s" s="10">
        <v>82</v>
      </c>
      <c r="N105" s="12"/>
      <c r="O105" t="s" s="10">
        <v>64</v>
      </c>
      <c r="P105" t="s" s="10">
        <v>681</v>
      </c>
      <c r="Q105" t="s" s="10">
        <v>41</v>
      </c>
      <c r="R105" s="11">
        <v>150</v>
      </c>
      <c r="S105" s="12"/>
      <c r="T105" s="12"/>
      <c r="U105" s="12"/>
      <c r="V105" t="s" s="10">
        <v>56</v>
      </c>
      <c r="W105" t="s" s="10">
        <v>42</v>
      </c>
      <c r="X105" t="s" s="10">
        <v>682</v>
      </c>
      <c r="Y105" t="s" s="10">
        <v>44</v>
      </c>
      <c r="Z105" t="s" s="10">
        <v>615</v>
      </c>
      <c r="AA105" t="s" s="10">
        <v>683</v>
      </c>
      <c r="AB105" t="s" s="10">
        <v>683</v>
      </c>
      <c r="AC105" t="s" s="10">
        <v>120</v>
      </c>
      <c r="AD105" t="s" s="10">
        <v>46</v>
      </c>
      <c r="AE105" s="12"/>
    </row>
    <row r="106" ht="20.05" customHeight="1">
      <c r="A106" t="s" s="8">
        <f>"UZT-120"</f>
        <v>684</v>
      </c>
      <c r="B106" t="s" s="9">
        <v>33</v>
      </c>
      <c r="C106" t="s" s="10">
        <v>685</v>
      </c>
      <c r="D106" t="s" s="10">
        <v>686</v>
      </c>
      <c r="E106" t="s" s="10">
        <v>687</v>
      </c>
      <c r="F106" s="11">
        <v>6871</v>
      </c>
      <c r="G106" t="s" s="10">
        <v>688</v>
      </c>
      <c r="H106" t="s" s="10">
        <v>612</v>
      </c>
      <c r="I106" s="12"/>
      <c r="J106" t="s" s="10">
        <v>157</v>
      </c>
      <c r="K106" t="s" s="10">
        <v>158</v>
      </c>
      <c r="L106" t="s" s="10">
        <v>689</v>
      </c>
      <c r="M106" s="12"/>
      <c r="N106" s="12"/>
      <c r="O106" t="s" s="10">
        <v>449</v>
      </c>
      <c r="P106" t="s" s="10">
        <v>690</v>
      </c>
      <c r="Q106" t="s" s="10">
        <v>41</v>
      </c>
      <c r="R106" s="12"/>
      <c r="S106" s="12"/>
      <c r="T106" s="12"/>
      <c r="U106" s="12"/>
      <c r="V106" t="s" s="10">
        <v>56</v>
      </c>
      <c r="W106" t="s" s="10">
        <v>567</v>
      </c>
      <c r="X106" t="s" s="10">
        <v>691</v>
      </c>
      <c r="Y106" t="s" s="10">
        <v>44</v>
      </c>
      <c r="Z106" t="s" s="10">
        <v>691</v>
      </c>
      <c r="AA106" t="s" s="10">
        <v>692</v>
      </c>
      <c r="AB106" t="s" s="10">
        <v>692</v>
      </c>
      <c r="AC106" t="s" s="10">
        <v>172</v>
      </c>
      <c r="AD106" t="s" s="10">
        <v>46</v>
      </c>
      <c r="AE106" s="12"/>
    </row>
    <row r="107" ht="20.05" customHeight="1">
      <c r="A107" t="s" s="8">
        <f>"GOE-977"</f>
        <v>693</v>
      </c>
      <c r="B107" t="s" s="9">
        <v>33</v>
      </c>
      <c r="C107" t="s" s="10">
        <v>191</v>
      </c>
      <c r="D107" t="s" s="10">
        <v>123</v>
      </c>
      <c r="E107" t="s" s="10">
        <v>694</v>
      </c>
      <c r="F107" s="11">
        <v>2987</v>
      </c>
      <c r="G107" t="s" s="10">
        <v>695</v>
      </c>
      <c r="H107" t="s" s="10">
        <v>612</v>
      </c>
      <c r="I107" s="12"/>
      <c r="J107" t="s" s="10">
        <v>157</v>
      </c>
      <c r="K107" t="s" s="10">
        <v>158</v>
      </c>
      <c r="L107" t="s" s="10">
        <v>689</v>
      </c>
      <c r="M107" s="12"/>
      <c r="N107" s="12"/>
      <c r="O107" t="s" s="10">
        <v>696</v>
      </c>
      <c r="P107" t="s" s="10">
        <v>697</v>
      </c>
      <c r="Q107" t="s" s="10">
        <v>41</v>
      </c>
      <c r="R107" s="12"/>
      <c r="S107" s="12"/>
      <c r="T107" s="12"/>
      <c r="U107" s="12"/>
      <c r="V107" t="s" s="10">
        <v>56</v>
      </c>
      <c r="W107" t="s" s="10">
        <v>567</v>
      </c>
      <c r="X107" t="s" s="10">
        <v>246</v>
      </c>
      <c r="Y107" t="s" s="10">
        <v>44</v>
      </c>
      <c r="Z107" t="s" s="10">
        <v>246</v>
      </c>
      <c r="AA107" t="s" s="10">
        <v>698</v>
      </c>
      <c r="AB107" t="s" s="10">
        <v>698</v>
      </c>
      <c r="AC107" t="s" s="10">
        <v>172</v>
      </c>
      <c r="AD107" t="s" s="10">
        <v>46</v>
      </c>
      <c r="AE107" s="12"/>
    </row>
    <row r="108" ht="20.05" customHeight="1">
      <c r="A108" t="s" s="8">
        <f>"IPH-626"</f>
        <v>699</v>
      </c>
      <c r="B108" t="s" s="9">
        <v>33</v>
      </c>
      <c r="C108" t="s" s="10">
        <v>49</v>
      </c>
      <c r="D108" t="s" s="10">
        <v>219</v>
      </c>
      <c r="E108" t="s" s="10">
        <v>231</v>
      </c>
      <c r="F108" s="11">
        <v>1461</v>
      </c>
      <c r="G108" t="s" s="10">
        <v>700</v>
      </c>
      <c r="H108" t="s" s="10">
        <v>612</v>
      </c>
      <c r="I108" s="12"/>
      <c r="J108" t="s" s="10">
        <v>38</v>
      </c>
      <c r="K108" s="12"/>
      <c r="L108" s="12"/>
      <c r="M108" s="12"/>
      <c r="N108" s="12"/>
      <c r="O108" t="s" s="10">
        <v>625</v>
      </c>
      <c r="P108" t="s" s="10">
        <v>701</v>
      </c>
      <c r="Q108" t="s" s="10">
        <v>41</v>
      </c>
      <c r="R108" s="11">
        <v>117</v>
      </c>
      <c r="S108" s="12"/>
      <c r="T108" s="11">
        <v>149</v>
      </c>
      <c r="U108" s="12"/>
      <c r="V108" t="s" s="10">
        <v>56</v>
      </c>
      <c r="W108" t="s" s="10">
        <v>42</v>
      </c>
      <c r="X108" t="s" s="10">
        <v>702</v>
      </c>
      <c r="Y108" t="s" s="10">
        <v>44</v>
      </c>
      <c r="Z108" t="s" s="10">
        <v>615</v>
      </c>
      <c r="AA108" t="s" s="10">
        <v>703</v>
      </c>
      <c r="AB108" t="s" s="10">
        <v>703</v>
      </c>
      <c r="AC108" s="12"/>
      <c r="AD108" t="s" s="10">
        <v>46</v>
      </c>
      <c r="AE108" s="12"/>
    </row>
    <row r="109" ht="20.05" customHeight="1">
      <c r="A109" t="s" s="8">
        <f>"KPR-444"</f>
        <v>704</v>
      </c>
      <c r="B109" t="s" s="9">
        <v>33</v>
      </c>
      <c r="C109" t="s" s="10">
        <v>49</v>
      </c>
      <c r="D109" t="s" s="10">
        <v>256</v>
      </c>
      <c r="E109" t="s" s="10">
        <v>257</v>
      </c>
      <c r="F109" s="11">
        <v>1598</v>
      </c>
      <c r="G109" t="s" s="10">
        <v>705</v>
      </c>
      <c r="H109" t="s" s="10">
        <v>612</v>
      </c>
      <c r="I109" s="12"/>
      <c r="J109" t="s" s="10">
        <v>38</v>
      </c>
      <c r="K109" s="12"/>
      <c r="L109" s="12"/>
      <c r="M109" s="12"/>
      <c r="N109" s="12"/>
      <c r="O109" t="s" s="10">
        <v>706</v>
      </c>
      <c r="P109" t="s" s="10">
        <v>707</v>
      </c>
      <c r="Q109" t="s" s="10">
        <v>41</v>
      </c>
      <c r="R109" s="11">
        <v>147</v>
      </c>
      <c r="S109" s="12"/>
      <c r="T109" s="12"/>
      <c r="U109" s="12"/>
      <c r="V109" t="s" s="10">
        <v>56</v>
      </c>
      <c r="W109" t="s" s="10">
        <v>42</v>
      </c>
      <c r="X109" t="s" s="10">
        <v>215</v>
      </c>
      <c r="Y109" t="s" s="10">
        <v>44</v>
      </c>
      <c r="Z109" t="s" s="10">
        <v>215</v>
      </c>
      <c r="AA109" t="s" s="10">
        <v>708</v>
      </c>
      <c r="AB109" t="s" s="10">
        <v>708</v>
      </c>
      <c r="AC109" s="12"/>
      <c r="AD109" t="s" s="10">
        <v>46</v>
      </c>
      <c r="AE109" s="12"/>
    </row>
    <row r="110" ht="20.05" customHeight="1">
      <c r="A110" t="s" s="8">
        <f>"UZF-789"</f>
        <v>709</v>
      </c>
      <c r="B110" t="s" s="9">
        <v>33</v>
      </c>
      <c r="C110" t="s" s="10">
        <v>49</v>
      </c>
      <c r="D110" t="s" s="10">
        <v>256</v>
      </c>
      <c r="E110" t="s" s="10">
        <v>257</v>
      </c>
      <c r="F110" s="11">
        <v>1968</v>
      </c>
      <c r="G110" t="s" s="10">
        <v>710</v>
      </c>
      <c r="H110" t="s" s="10">
        <v>612</v>
      </c>
      <c r="I110" s="12"/>
      <c r="J110" t="s" s="10">
        <v>38</v>
      </c>
      <c r="K110" s="12"/>
      <c r="L110" s="12"/>
      <c r="M110" s="12"/>
      <c r="N110" s="12"/>
      <c r="O110" t="s" s="10">
        <v>711</v>
      </c>
      <c r="P110" t="s" s="10">
        <v>712</v>
      </c>
      <c r="Q110" t="s" s="10">
        <v>41</v>
      </c>
      <c r="R110" s="11">
        <v>174</v>
      </c>
      <c r="S110" s="12"/>
      <c r="T110" s="12"/>
      <c r="U110" s="12"/>
      <c r="V110" t="s" s="10">
        <v>56</v>
      </c>
      <c r="W110" t="s" s="10">
        <v>42</v>
      </c>
      <c r="X110" t="s" s="10">
        <v>713</v>
      </c>
      <c r="Y110" t="s" s="10">
        <v>44</v>
      </c>
      <c r="Z110" t="s" s="10">
        <v>312</v>
      </c>
      <c r="AA110" t="s" s="10">
        <v>714</v>
      </c>
      <c r="AB110" t="s" s="10">
        <v>715</v>
      </c>
      <c r="AC110" t="s" s="10">
        <v>59</v>
      </c>
      <c r="AD110" t="s" s="10">
        <v>46</v>
      </c>
      <c r="AE110" s="12"/>
    </row>
    <row r="111" ht="20.05" customHeight="1">
      <c r="A111" t="s" s="8">
        <f>"XTO-875"</f>
        <v>716</v>
      </c>
      <c r="B111" t="s" s="9">
        <v>33</v>
      </c>
      <c r="C111" t="s" s="10">
        <v>49</v>
      </c>
      <c r="D111" t="s" s="10">
        <v>256</v>
      </c>
      <c r="E111" t="s" s="10">
        <v>257</v>
      </c>
      <c r="F111" s="11">
        <v>1968</v>
      </c>
      <c r="G111" t="s" s="10">
        <v>717</v>
      </c>
      <c r="H111" t="s" s="10">
        <v>612</v>
      </c>
      <c r="I111" s="12"/>
      <c r="J111" t="s" s="10">
        <v>38</v>
      </c>
      <c r="K111" s="12"/>
      <c r="L111" s="12"/>
      <c r="M111" t="s" s="10">
        <v>82</v>
      </c>
      <c r="N111" s="12"/>
      <c r="O111" t="s" s="10">
        <v>718</v>
      </c>
      <c r="P111" t="s" s="10">
        <v>647</v>
      </c>
      <c r="Q111" t="s" s="10">
        <v>41</v>
      </c>
      <c r="R111" s="11">
        <v>174</v>
      </c>
      <c r="S111" s="12"/>
      <c r="T111" s="12"/>
      <c r="U111" s="12"/>
      <c r="V111" t="s" s="10">
        <v>56</v>
      </c>
      <c r="W111" t="s" s="10">
        <v>42</v>
      </c>
      <c r="X111" t="s" s="10">
        <v>719</v>
      </c>
      <c r="Y111" t="s" s="10">
        <v>44</v>
      </c>
      <c r="Z111" t="s" s="10">
        <v>719</v>
      </c>
      <c r="AA111" t="s" s="10">
        <v>720</v>
      </c>
      <c r="AB111" t="s" s="10">
        <v>721</v>
      </c>
      <c r="AC111" t="s" s="10">
        <v>59</v>
      </c>
      <c r="AD111" t="s" s="10">
        <v>46</v>
      </c>
      <c r="AE111" s="12"/>
    </row>
    <row r="112" ht="20.05" customHeight="1">
      <c r="A112" t="s" s="8">
        <f>"NJM-549"</f>
        <v>722</v>
      </c>
      <c r="B112" t="s" s="9">
        <v>33</v>
      </c>
      <c r="C112" t="s" s="10">
        <v>49</v>
      </c>
      <c r="D112" t="s" s="10">
        <v>380</v>
      </c>
      <c r="E112" t="s" s="10">
        <v>257</v>
      </c>
      <c r="F112" s="11">
        <v>1598</v>
      </c>
      <c r="G112" t="s" s="10">
        <v>723</v>
      </c>
      <c r="H112" t="s" s="10">
        <v>612</v>
      </c>
      <c r="I112" s="12"/>
      <c r="J112" t="s" s="10">
        <v>38</v>
      </c>
      <c r="K112" s="12"/>
      <c r="L112" s="12"/>
      <c r="M112" s="12"/>
      <c r="N112" s="12"/>
      <c r="O112" t="s" s="10">
        <v>349</v>
      </c>
      <c r="P112" t="s" s="10">
        <v>350</v>
      </c>
      <c r="Q112" t="s" s="10">
        <v>41</v>
      </c>
      <c r="R112" s="11">
        <v>139</v>
      </c>
      <c r="S112" s="12"/>
      <c r="T112" s="12"/>
      <c r="U112" s="12"/>
      <c r="V112" t="s" s="10">
        <v>56</v>
      </c>
      <c r="W112" t="s" s="10">
        <v>42</v>
      </c>
      <c r="X112" t="s" s="10">
        <v>724</v>
      </c>
      <c r="Y112" t="s" s="10">
        <v>44</v>
      </c>
      <c r="Z112" t="s" s="10">
        <v>724</v>
      </c>
      <c r="AA112" t="s" s="10">
        <v>725</v>
      </c>
      <c r="AB112" t="s" s="10">
        <v>725</v>
      </c>
      <c r="AC112" t="s" s="10">
        <v>59</v>
      </c>
      <c r="AD112" t="s" s="10">
        <v>46</v>
      </c>
      <c r="AE112" s="12"/>
    </row>
    <row r="113" ht="20.05" customHeight="1">
      <c r="A113" t="s" s="8">
        <f>"BRK-530"</f>
        <v>726</v>
      </c>
      <c r="B113" t="s" s="9">
        <v>33</v>
      </c>
      <c r="C113" t="s" s="10">
        <v>685</v>
      </c>
      <c r="D113" t="s" s="10">
        <v>727</v>
      </c>
      <c r="E113" t="s" s="10">
        <v>728</v>
      </c>
      <c r="F113" s="11">
        <v>7146</v>
      </c>
      <c r="G113" t="s" s="10">
        <v>729</v>
      </c>
      <c r="H113" t="s" s="10">
        <v>612</v>
      </c>
      <c r="I113" s="12"/>
      <c r="J113" t="s" s="10">
        <v>38</v>
      </c>
      <c r="K113" s="12"/>
      <c r="L113" s="12"/>
      <c r="M113" s="12"/>
      <c r="N113" s="12"/>
      <c r="O113" t="s" s="10">
        <v>499</v>
      </c>
      <c r="P113" t="s" s="10">
        <v>730</v>
      </c>
      <c r="Q113" t="s" s="10">
        <v>41</v>
      </c>
      <c r="R113" s="12"/>
      <c r="S113" s="12"/>
      <c r="T113" s="12"/>
      <c r="U113" s="12"/>
      <c r="V113" t="s" s="10">
        <v>56</v>
      </c>
      <c r="W113" t="s" s="10">
        <v>567</v>
      </c>
      <c r="X113" t="s" s="10">
        <v>731</v>
      </c>
      <c r="Y113" t="s" s="10">
        <v>44</v>
      </c>
      <c r="Z113" t="s" s="10">
        <v>615</v>
      </c>
      <c r="AA113" t="s" s="10">
        <v>254</v>
      </c>
      <c r="AB113" t="s" s="10">
        <v>254</v>
      </c>
      <c r="AC113" t="s" s="10">
        <v>59</v>
      </c>
      <c r="AD113" t="s" s="10">
        <v>46</v>
      </c>
      <c r="AE113" s="12"/>
    </row>
    <row r="114" ht="20.05" customHeight="1">
      <c r="A114" t="s" s="8">
        <f>"YJB-335"</f>
        <v>732</v>
      </c>
      <c r="B114" t="s" s="9">
        <v>33</v>
      </c>
      <c r="C114" t="s" s="10">
        <v>685</v>
      </c>
      <c r="D114" t="s" s="10">
        <v>727</v>
      </c>
      <c r="E114" t="s" s="10">
        <v>733</v>
      </c>
      <c r="F114" s="11">
        <v>12777</v>
      </c>
      <c r="G114" t="s" s="10">
        <v>734</v>
      </c>
      <c r="H114" t="s" s="10">
        <v>612</v>
      </c>
      <c r="I114" s="12"/>
      <c r="J114" t="s" s="10">
        <v>38</v>
      </c>
      <c r="K114" s="12"/>
      <c r="L114" t="s" s="10">
        <v>666</v>
      </c>
      <c r="M114" s="12"/>
      <c r="N114" s="12"/>
      <c r="O114" t="s" s="10">
        <v>64</v>
      </c>
      <c r="P114" t="s" s="10">
        <v>735</v>
      </c>
      <c r="Q114" t="s" s="10">
        <v>41</v>
      </c>
      <c r="R114" s="12"/>
      <c r="S114" s="12"/>
      <c r="T114" s="12"/>
      <c r="U114" s="12"/>
      <c r="V114" t="s" s="10">
        <v>56</v>
      </c>
      <c r="W114" t="s" s="10">
        <v>567</v>
      </c>
      <c r="X114" t="s" s="10">
        <v>736</v>
      </c>
      <c r="Y114" t="s" s="10">
        <v>44</v>
      </c>
      <c r="Z114" t="s" s="10">
        <v>615</v>
      </c>
      <c r="AA114" t="s" s="10">
        <v>737</v>
      </c>
      <c r="AB114" t="s" s="10">
        <v>737</v>
      </c>
      <c r="AC114" t="s" s="10">
        <v>181</v>
      </c>
      <c r="AD114" t="s" s="10">
        <v>46</v>
      </c>
      <c r="AE114" s="12"/>
    </row>
  </sheetData>
  <mergeCells count="1">
    <mergeCell ref="A1:A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