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lad 1 - ajoneuvot (6)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<sst xmlns="http://schemas.openxmlformats.org/spreadsheetml/2006/main" uniqueCount="970">
  <si>
    <t>ajoneuvot (6)</t>
  </si>
  <si>
    <t>Registreringsnummer</t>
  </si>
  <si>
    <t>Fordonets status</t>
  </si>
  <si>
    <t>Fordonskategori</t>
  </si>
  <si>
    <t>Märke</t>
  </si>
  <si>
    <t>Handelsbeteckning</t>
  </si>
  <si>
    <t>Slagvolym</t>
  </si>
  <si>
    <t>Tillverkningsnummer</t>
  </si>
  <si>
    <t>Ägare/innehavaren</t>
  </si>
  <si>
    <t>Filial</t>
  </si>
  <si>
    <t>Typ av ägande</t>
  </si>
  <si>
    <t>Besittningsförhållande</t>
  </si>
  <si>
    <t>Innehavarens namn</t>
  </si>
  <si>
    <t>Begränsningar</t>
  </si>
  <si>
    <t>Typ av överlåtelseanmälan</t>
  </si>
  <si>
    <t>Intervallet för periodisk besiktning början</t>
  </si>
  <si>
    <t>Intervallet för periodisk besiktning slut</t>
  </si>
  <si>
    <t>Besiktning aktuell</t>
  </si>
  <si>
    <t>CO2 Kombinerat</t>
  </si>
  <si>
    <t>CO2 Viktat, kombinerat</t>
  </si>
  <si>
    <t>WLTP CO2 kombinerad</t>
  </si>
  <si>
    <t>WLTP CO2 viktade, blandad</t>
  </si>
  <si>
    <t>Drivkraft</t>
  </si>
  <si>
    <t>Fordonets användningsändamål</t>
  </si>
  <si>
    <t>Ägarskapets startdatum</t>
  </si>
  <si>
    <t>Försäkringsbolag</t>
  </si>
  <si>
    <t>Försäkringens startdatum</t>
  </si>
  <si>
    <t>Datum för första registrering</t>
  </si>
  <si>
    <t>Ibruktagningsdatum</t>
  </si>
  <si>
    <t>Utsläppsklass</t>
  </si>
  <si>
    <t>Elhybrid</t>
  </si>
  <si>
    <t>Typ av eldrivet hybridfordon</t>
  </si>
  <si>
    <t>UXF-336</t>
  </si>
  <si>
    <t>registrerad/registrerat</t>
  </si>
  <si>
    <t>N1/Paketbil</t>
  </si>
  <si>
    <t>Citroen</t>
  </si>
  <si>
    <t>BERLINGO</t>
  </si>
  <si>
    <t>VF77E9HF8DJ731353</t>
  </si>
  <si>
    <t>Budtrans Group Oy Ab. Slagfältsvägen 51, 66800 ORAVAIS</t>
  </si>
  <si>
    <t>1 ägaren</t>
  </si>
  <si>
    <t>6.2.2026</t>
  </si>
  <si>
    <t>8.2.2027</t>
  </si>
  <si>
    <t>Ja</t>
  </si>
  <si>
    <t>Dieselolja</t>
  </si>
  <si>
    <t>Privat</t>
  </si>
  <si>
    <t>7.11.2025</t>
  </si>
  <si>
    <t>LähiTapiola</t>
  </si>
  <si>
    <t>15.11.2025</t>
  </si>
  <si>
    <t>5.11.2013</t>
  </si>
  <si>
    <t>Euro 5</t>
  </si>
  <si>
    <t>Nej</t>
  </si>
  <si>
    <t>GKS-642</t>
  </si>
  <si>
    <t>avställd/avställt</t>
  </si>
  <si>
    <t>VF77F9HF8DJ587043</t>
  </si>
  <si>
    <t>Avställning. Periodisk besiktning har inte utförts/godkänts</t>
  </si>
  <si>
    <t>11.2.2025</t>
  </si>
  <si>
    <t>11.2.2026</t>
  </si>
  <si>
    <t>11.8.2025</t>
  </si>
  <si>
    <t>6.8.2025</t>
  </si>
  <si>
    <t>24.4.2013</t>
  </si>
  <si>
    <t>VXH-696</t>
  </si>
  <si>
    <t>VF77E9HF8DJ712160</t>
  </si>
  <si>
    <t>15.8.2025</t>
  </si>
  <si>
    <t>17.8.2026</t>
  </si>
  <si>
    <t>21.8.2025</t>
  </si>
  <si>
    <t>30.9.2013</t>
  </si>
  <si>
    <t>MMO-422</t>
  </si>
  <si>
    <t>JUMPY</t>
  </si>
  <si>
    <t>VF7XURHHAGZ018803</t>
  </si>
  <si>
    <t>Befrielse från bilskatt</t>
  </si>
  <si>
    <t>27.6.2025</t>
  </si>
  <si>
    <t>20.7.2026</t>
  </si>
  <si>
    <t>27.4.2026</t>
  </si>
  <si>
    <t>30.5.2016</t>
  </si>
  <si>
    <t>OVB-344</t>
  </si>
  <si>
    <t>VF7XURHHAGZ023940</t>
  </si>
  <si>
    <t>2.6.2026</t>
  </si>
  <si>
    <t>14.6.2027</t>
  </si>
  <si>
    <t>21.1.2026</t>
  </si>
  <si>
    <t>14.6.2016</t>
  </si>
  <si>
    <t>RSL-802</t>
  </si>
  <si>
    <t>VF7XURHHAGZ027176</t>
  </si>
  <si>
    <t>1 innehavaren</t>
  </si>
  <si>
    <t>Annat</t>
  </si>
  <si>
    <t>Budtrans Group Oy Ab</t>
  </si>
  <si>
    <t>7.5.2025</t>
  </si>
  <si>
    <t>15.6.2026</t>
  </si>
  <si>
    <t>15.6.2016</t>
  </si>
  <si>
    <t>ERY-401</t>
  </si>
  <si>
    <t>Mercedes-Benz</t>
  </si>
  <si>
    <t>VITO 113CDI</t>
  </si>
  <si>
    <t>WDF63960123692362</t>
  </si>
  <si>
    <t>Postinjakajat Oy - Postutdelarna Ab</t>
  </si>
  <si>
    <t>17.11.2025</t>
  </si>
  <si>
    <t>17.11.2026</t>
  </si>
  <si>
    <t>1.9.2021</t>
  </si>
  <si>
    <t>30.11.2011</t>
  </si>
  <si>
    <t>LZL-233</t>
  </si>
  <si>
    <t>VITO</t>
  </si>
  <si>
    <t>WDF63960123664502</t>
  </si>
  <si>
    <t>Avställning. Periodisk besiktning har inte utförts/godkänts. Befrielse från bilskatt</t>
  </si>
  <si>
    <t>6.10.2021</t>
  </si>
  <si>
    <t>6.10.2022</t>
  </si>
  <si>
    <t>6.10.2011</t>
  </si>
  <si>
    <t>NOP-740</t>
  </si>
  <si>
    <t>M3/Buss</t>
  </si>
  <si>
    <t>SPRINTER</t>
  </si>
  <si>
    <t>WDB9066571P590854</t>
  </si>
  <si>
    <t>Oravais Servicetrafik Ab</t>
  </si>
  <si>
    <t>4.5.2026</t>
  </si>
  <si>
    <t>21.5.2027</t>
  </si>
  <si>
    <t>Tillståndspliktig</t>
  </si>
  <si>
    <t>22.4.2026</t>
  </si>
  <si>
    <t>21.5.2018</t>
  </si>
  <si>
    <t>Euro 6</t>
  </si>
  <si>
    <t>VMZ-419</t>
  </si>
  <si>
    <t>Opel</t>
  </si>
  <si>
    <t>MERIVA</t>
  </si>
  <si>
    <t>W0LSC9CK2D4045813</t>
  </si>
  <si>
    <t>28.2.2023</t>
  </si>
  <si>
    <t>28.2.2024</t>
  </si>
  <si>
    <t>21.9.2021</t>
  </si>
  <si>
    <t>28.2.2013</t>
  </si>
  <si>
    <t>BRE-103</t>
  </si>
  <si>
    <t>Peugeot</t>
  </si>
  <si>
    <t>PARTNER</t>
  </si>
  <si>
    <t>VF37F9HF8DJ604140</t>
  </si>
  <si>
    <t>8.9.2025</t>
  </si>
  <si>
    <t>8.9.2026</t>
  </si>
  <si>
    <t>18.9.2025</t>
  </si>
  <si>
    <t>25.6.2013</t>
  </si>
  <si>
    <t>VXA-640</t>
  </si>
  <si>
    <t>Renault</t>
  </si>
  <si>
    <t>TRAFIC</t>
  </si>
  <si>
    <t>VF1FLB1BFDY510781</t>
  </si>
  <si>
    <t>29.9.2025</t>
  </si>
  <si>
    <t>26.10.2026</t>
  </si>
  <si>
    <t>15.5.2026</t>
  </si>
  <si>
    <t>18.5.2026</t>
  </si>
  <si>
    <t>3.10.2013</t>
  </si>
  <si>
    <t>ENY-134</t>
  </si>
  <si>
    <t>Skoda</t>
  </si>
  <si>
    <t>YETI</t>
  </si>
  <si>
    <t>TMBKF75L4C6033247</t>
  </si>
  <si>
    <t>23.3.2026</t>
  </si>
  <si>
    <t>23.3.2027</t>
  </si>
  <si>
    <t>Bensin</t>
  </si>
  <si>
    <t>2.1.2012</t>
  </si>
  <si>
    <t>MKH-390</t>
  </si>
  <si>
    <t>Volkswagen</t>
  </si>
  <si>
    <t>TRANSPORTER</t>
  </si>
  <si>
    <t>WV1ZZZ7HZBH024258</t>
  </si>
  <si>
    <t>3.12.2020</t>
  </si>
  <si>
    <t>22.12.2021</t>
  </si>
  <si>
    <t>22.12.2010</t>
  </si>
  <si>
    <t>IJA-707</t>
  </si>
  <si>
    <t>CADDY MAXI</t>
  </si>
  <si>
    <t>WV1ZZZ2KZ9X132113</t>
  </si>
  <si>
    <t>17.9.2025</t>
  </si>
  <si>
    <t>18.9.2026</t>
  </si>
  <si>
    <t>21.3.2025</t>
  </si>
  <si>
    <t>18.3.2025</t>
  </si>
  <si>
    <t>24.8.2009</t>
  </si>
  <si>
    <t>YVX-655</t>
  </si>
  <si>
    <t>Volkswagen, VW</t>
  </si>
  <si>
    <t>CADDY</t>
  </si>
  <si>
    <t>WV1ZZZ2KZEX004044</t>
  </si>
  <si>
    <t>27.9.2023</t>
  </si>
  <si>
    <t>27.9.2024</t>
  </si>
  <si>
    <t>21.8.2013</t>
  </si>
  <si>
    <t>XVM-392</t>
  </si>
  <si>
    <t>WV1ZZZ2KZEX009595</t>
  </si>
  <si>
    <t>23.2.2024</t>
  </si>
  <si>
    <t>24.2.2025</t>
  </si>
  <si>
    <t>ISL-829</t>
  </si>
  <si>
    <t>WV1ZZZ2KZEX099626</t>
  </si>
  <si>
    <t>18.8.2025</t>
  </si>
  <si>
    <t>18.8.2026</t>
  </si>
  <si>
    <t>29.1.2026</t>
  </si>
  <si>
    <t>15.4.2014</t>
  </si>
  <si>
    <t>CIL-479</t>
  </si>
  <si>
    <t>Dacia</t>
  </si>
  <si>
    <t>DUSTER</t>
  </si>
  <si>
    <t>UU1HSDACN45428765</t>
  </si>
  <si>
    <t>Budtrans Malax Ab/Oy. Slagfältsvägen 51, 66800 ORAVAIS</t>
  </si>
  <si>
    <t>Tilläggsskylt. Befrielse från bilskatt</t>
  </si>
  <si>
    <t>12.9.2025</t>
  </si>
  <si>
    <t>14.9.2026</t>
  </si>
  <si>
    <t>19.12.2024</t>
  </si>
  <si>
    <t>20.12.2024</t>
  </si>
  <si>
    <t>18.8.2011</t>
  </si>
  <si>
    <t>BRX-455</t>
  </si>
  <si>
    <t>Ford</t>
  </si>
  <si>
    <t>TRANSIT COURIER</t>
  </si>
  <si>
    <t>WF0WXXTACWEJ05701</t>
  </si>
  <si>
    <t>22.9.2025</t>
  </si>
  <si>
    <t>22.9.2026</t>
  </si>
  <si>
    <t>28.3.2022</t>
  </si>
  <si>
    <t>24.5.2024</t>
  </si>
  <si>
    <t>19.11.2014</t>
  </si>
  <si>
    <t>VXS-803</t>
  </si>
  <si>
    <t>WF0WXXTACWER27363</t>
  </si>
  <si>
    <t>26.8.2025</t>
  </si>
  <si>
    <t>26.8.2026</t>
  </si>
  <si>
    <t>1.9.2022</t>
  </si>
  <si>
    <t>9.1.2015</t>
  </si>
  <si>
    <t>ZKM-222</t>
  </si>
  <si>
    <t>Transit Courier</t>
  </si>
  <si>
    <t>WF0WXXTACWFK46694</t>
  </si>
  <si>
    <t>20.5.2027</t>
  </si>
  <si>
    <t>25.5.2021</t>
  </si>
  <si>
    <t>5.5.2015</t>
  </si>
  <si>
    <t>SNK-471</t>
  </si>
  <si>
    <t>WF0WXXTACWFY68941</t>
  </si>
  <si>
    <t>13.10.2025</t>
  </si>
  <si>
    <t>13.10.2026</t>
  </si>
  <si>
    <t>26.3.2021</t>
  </si>
  <si>
    <t>20.8.2015</t>
  </si>
  <si>
    <t>NKB-862</t>
  </si>
  <si>
    <t>WF0WXXTACWFP09821</t>
  </si>
  <si>
    <t>16.3.2026</t>
  </si>
  <si>
    <t>16.3.2027</t>
  </si>
  <si>
    <t>11.5.2016</t>
  </si>
  <si>
    <t>8.2.2016</t>
  </si>
  <si>
    <t>MNE-571</t>
  </si>
  <si>
    <t>WF0WXXTACWHC41852</t>
  </si>
  <si>
    <t>30.9.2024</t>
  </si>
  <si>
    <t>30.9.2026</t>
  </si>
  <si>
    <t>20.11.2020</t>
  </si>
  <si>
    <t>13.11.2017</t>
  </si>
  <si>
    <t>ZLV-281</t>
  </si>
  <si>
    <t>WF0WXXTACWHD57489</t>
  </si>
  <si>
    <t>4.9.2024</t>
  </si>
  <si>
    <t>7.9.2026</t>
  </si>
  <si>
    <t>2.9.2021</t>
  </si>
  <si>
    <t>1.8.2018</t>
  </si>
  <si>
    <t>CLJ-338</t>
  </si>
  <si>
    <t>WF0WXXTACWJY87549</t>
  </si>
  <si>
    <t>19.5.2025</t>
  </si>
  <si>
    <t>19.5.2027</t>
  </si>
  <si>
    <t>7.5.2021</t>
  </si>
  <si>
    <t>4.5.2018</t>
  </si>
  <si>
    <t>FNK-154</t>
  </si>
  <si>
    <t>WF0WXXTACWJM19255</t>
  </si>
  <si>
    <t>4.2.2025</t>
  </si>
  <si>
    <t>4.2.2027</t>
  </si>
  <si>
    <t>1.3.2022</t>
  </si>
  <si>
    <t>1.2.2019</t>
  </si>
  <si>
    <t>KTK-434</t>
  </si>
  <si>
    <t>WF0WXXTACWJB27921</t>
  </si>
  <si>
    <t>12.11.2018</t>
  </si>
  <si>
    <t>FNV-148</t>
  </si>
  <si>
    <t>WF0WXXTACWKE54826</t>
  </si>
  <si>
    <t>Avställning</t>
  </si>
  <si>
    <t>15.7.2025</t>
  </si>
  <si>
    <t>15.7.2027</t>
  </si>
  <si>
    <t>11.6.2019</t>
  </si>
  <si>
    <t>CNU-762</t>
  </si>
  <si>
    <t>WF0WXXTACWKL63264</t>
  </si>
  <si>
    <t>14.10.2025</t>
  </si>
  <si>
    <t>14.10.2027</t>
  </si>
  <si>
    <t>30.5.2022</t>
  </si>
  <si>
    <t>30.9.2019</t>
  </si>
  <si>
    <t>GNV-194</t>
  </si>
  <si>
    <t>WF0WXXTACWKT74125</t>
  </si>
  <si>
    <t>14.11.2025</t>
  </si>
  <si>
    <t>15.11.2027</t>
  </si>
  <si>
    <t>5.11.2019</t>
  </si>
  <si>
    <t>OXV-397</t>
  </si>
  <si>
    <t>WF0WXXTACWLA18497</t>
  </si>
  <si>
    <t>26.8.2024</t>
  </si>
  <si>
    <t>24.7.2020</t>
  </si>
  <si>
    <t>TRZ-436</t>
  </si>
  <si>
    <t>Sprinter 316 CDI</t>
  </si>
  <si>
    <t>WDB9061331N436980</t>
  </si>
  <si>
    <t>13.12.2023</t>
  </si>
  <si>
    <t>13.12.2024</t>
  </si>
  <si>
    <t>20.10.2025</t>
  </si>
  <si>
    <t>16.5.2024</t>
  </si>
  <si>
    <t>19.2.2010</t>
  </si>
  <si>
    <t>GLH-516</t>
  </si>
  <si>
    <t>N2/Lastbil</t>
  </si>
  <si>
    <t>Sprinter</t>
  </si>
  <si>
    <t>WDB9061551N586287</t>
  </si>
  <si>
    <t>27.5.2026</t>
  </si>
  <si>
    <t>27.5.2027</t>
  </si>
  <si>
    <t>Tillståndspliktig godstrafik</t>
  </si>
  <si>
    <t>12.6.2019</t>
  </si>
  <si>
    <t>27.5.2014</t>
  </si>
  <si>
    <t>Euro VI</t>
  </si>
  <si>
    <t>OVS-609</t>
  </si>
  <si>
    <t>WDB9066351P369389</t>
  </si>
  <si>
    <t>24.3.2026</t>
  </si>
  <si>
    <t>24.3.2027</t>
  </si>
  <si>
    <t>17.3.2017</t>
  </si>
  <si>
    <t>YXO-770</t>
  </si>
  <si>
    <t>W1V9106331P352119</t>
  </si>
  <si>
    <t>Budtrans Malax Ab/Oy</t>
  </si>
  <si>
    <t>28.5.2025</t>
  </si>
  <si>
    <t>28.5.2027</t>
  </si>
  <si>
    <t>19.3.2026</t>
  </si>
  <si>
    <t>20.5.2021</t>
  </si>
  <si>
    <t>OZS-866</t>
  </si>
  <si>
    <t>W1V3HCFZ3PP538943</t>
  </si>
  <si>
    <t>30.8.2024</t>
  </si>
  <si>
    <t>30.8.2028</t>
  </si>
  <si>
    <t>6.11.2024</t>
  </si>
  <si>
    <t>KVJ-644</t>
  </si>
  <si>
    <t>W1VGHBFZ7PP581886</t>
  </si>
  <si>
    <t>3.2.2025</t>
  </si>
  <si>
    <t>5.2.2029</t>
  </si>
  <si>
    <t>30.1.2025</t>
  </si>
  <si>
    <t>IHL-945</t>
  </si>
  <si>
    <t>CADDY LIFE</t>
  </si>
  <si>
    <t>WV2ZZZ2KZ9X014514</t>
  </si>
  <si>
    <t>3.11.2025</t>
  </si>
  <si>
    <t>3.11.2026</t>
  </si>
  <si>
    <t>27.11.2024</t>
  </si>
  <si>
    <t>25.11.2024</t>
  </si>
  <si>
    <t>9.10.2008</t>
  </si>
  <si>
    <t>OMZ-273</t>
  </si>
  <si>
    <t>WV2ZZZ2KZAX038643</t>
  </si>
  <si>
    <t>22.10.2025</t>
  </si>
  <si>
    <t>22.10.2026</t>
  </si>
  <si>
    <t>9.1.2025</t>
  </si>
  <si>
    <t>8.1.2025</t>
  </si>
  <si>
    <t>14.10.2009</t>
  </si>
  <si>
    <t>IJP-444</t>
  </si>
  <si>
    <t>WV2ZZZ2KZBX204170</t>
  </si>
  <si>
    <t>16.7.2025</t>
  </si>
  <si>
    <t>16.7.2026</t>
  </si>
  <si>
    <t>12.11.2024</t>
  </si>
  <si>
    <t>11.11.2024</t>
  </si>
  <si>
    <t>30.3.2011</t>
  </si>
  <si>
    <t>DMH-901</t>
  </si>
  <si>
    <t>O2/Släpvagn</t>
  </si>
  <si>
    <t>BE-Compi</t>
  </si>
  <si>
    <t>3500 Plus</t>
  </si>
  <si>
    <t>XL935BE53LV495169</t>
  </si>
  <si>
    <t>Budtrans Waasa Oy Ab. Slagfältsvägen 51, 66800 ORAVAIS</t>
  </si>
  <si>
    <t>Budtrans Waasa Oy Ab</t>
  </si>
  <si>
    <t>12.3.2026</t>
  </si>
  <si>
    <t>2.1.2029</t>
  </si>
  <si>
    <t>9.4.2021</t>
  </si>
  <si>
    <t>YHU-776</t>
  </si>
  <si>
    <t>UU1HSDADG50142160</t>
  </si>
  <si>
    <t>2.2.2026</t>
  </si>
  <si>
    <t>10.4.2024</t>
  </si>
  <si>
    <t>31.3.2025</t>
  </si>
  <si>
    <t>31.1.2014</t>
  </si>
  <si>
    <t>ILP-291</t>
  </si>
  <si>
    <t>UU1HSDADG50583216</t>
  </si>
  <si>
    <t>31.7.2025</t>
  </si>
  <si>
    <t>12.8.2026</t>
  </si>
  <si>
    <t>3.8.2023</t>
  </si>
  <si>
    <t>16.4.2014</t>
  </si>
  <si>
    <t>SLH-464</t>
  </si>
  <si>
    <t>UU1HSDACN48417481</t>
  </si>
  <si>
    <t>16.2.2026</t>
  </si>
  <si>
    <t>16.2.2027</t>
  </si>
  <si>
    <t>24.9.2024</t>
  </si>
  <si>
    <t>6.3.2013</t>
  </si>
  <si>
    <t>NKE-749</t>
  </si>
  <si>
    <t>UU1HSDJ9G54216883</t>
  </si>
  <si>
    <t>19.3.2025</t>
  </si>
  <si>
    <t>28.4.2026</t>
  </si>
  <si>
    <t>5.4.2024</t>
  </si>
  <si>
    <t>28.4.2016</t>
  </si>
  <si>
    <t>CLA-346</t>
  </si>
  <si>
    <t>DOKKER</t>
  </si>
  <si>
    <t>UU18SDPJ558821736</t>
  </si>
  <si>
    <t>21.12.2026</t>
  </si>
  <si>
    <t>27.12.2023</t>
  </si>
  <si>
    <t>19.12.2017</t>
  </si>
  <si>
    <t>CLC-149</t>
  </si>
  <si>
    <t>UU1HSDJ9G58765502</t>
  </si>
  <si>
    <t>5.8.2025</t>
  </si>
  <si>
    <t>5.8.2027</t>
  </si>
  <si>
    <t>11.9.2024</t>
  </si>
  <si>
    <t>9.11.2017</t>
  </si>
  <si>
    <t>CLP-722</t>
  </si>
  <si>
    <t>VF1HJD20559755537</t>
  </si>
  <si>
    <t>28.1.2025</t>
  </si>
  <si>
    <t>28.1.2027</t>
  </si>
  <si>
    <t>28.3.2018</t>
  </si>
  <si>
    <t>YJX-921</t>
  </si>
  <si>
    <t>UU18SDPJ559944027</t>
  </si>
  <si>
    <t>25.3.2025</t>
  </si>
  <si>
    <t>25.3.2027</t>
  </si>
  <si>
    <t>25.3.2023</t>
  </si>
  <si>
    <t>13.3.2018</t>
  </si>
  <si>
    <t>CNU-450</t>
  </si>
  <si>
    <t>UU18SDPJ563509226</t>
  </si>
  <si>
    <t>9.12.2025</t>
  </si>
  <si>
    <t>9.12.2027</t>
  </si>
  <si>
    <t>11.11.2019</t>
  </si>
  <si>
    <t>CNU-451</t>
  </si>
  <si>
    <t>UU18SDPJ563509227</t>
  </si>
  <si>
    <t>5.9.2025</t>
  </si>
  <si>
    <t>20.9.2027</t>
  </si>
  <si>
    <t>5.11.2024</t>
  </si>
  <si>
    <t>MYZ-550</t>
  </si>
  <si>
    <t>VF1HJD40566317052</t>
  </si>
  <si>
    <t>AB STEFAN HJORT OY</t>
  </si>
  <si>
    <t>17.1.2025</t>
  </si>
  <si>
    <t>18.1.2027</t>
  </si>
  <si>
    <t>11.1.2024</t>
  </si>
  <si>
    <t>18.1.2021</t>
  </si>
  <si>
    <t>XOI-470</t>
  </si>
  <si>
    <t>Fiat</t>
  </si>
  <si>
    <t>SCUDO</t>
  </si>
  <si>
    <t>ZFA22000086294591</t>
  </si>
  <si>
    <t>16.11.2021</t>
  </si>
  <si>
    <t>16.11.2022</t>
  </si>
  <si>
    <t>29.7.2022</t>
  </si>
  <si>
    <t>28.9.2006</t>
  </si>
  <si>
    <t>FIE-454</t>
  </si>
  <si>
    <t>DOBLO</t>
  </si>
  <si>
    <t>ZFA22300005503450</t>
  </si>
  <si>
    <t>11.10.2023</t>
  </si>
  <si>
    <t>14.10.2024</t>
  </si>
  <si>
    <t>14.1.2021</t>
  </si>
  <si>
    <t>4.1.2008</t>
  </si>
  <si>
    <t>CLC-612</t>
  </si>
  <si>
    <t>Transit Connect</t>
  </si>
  <si>
    <t>WF0RXXWPGRHK27648</t>
  </si>
  <si>
    <t>1.10.2024</t>
  </si>
  <si>
    <t>5.10.2026</t>
  </si>
  <si>
    <t>4.9.2023</t>
  </si>
  <si>
    <t>14.12.2017</t>
  </si>
  <si>
    <t>MVI-417</t>
  </si>
  <si>
    <t>Hyundai</t>
  </si>
  <si>
    <t>i 30</t>
  </si>
  <si>
    <t>TMADC51SBBJ151861</t>
  </si>
  <si>
    <t>24.9.2025</t>
  </si>
  <si>
    <t>24.9.2026</t>
  </si>
  <si>
    <t>8.4.2024</t>
  </si>
  <si>
    <t>15.10.2010</t>
  </si>
  <si>
    <t>Euro 4</t>
  </si>
  <si>
    <t>UZT-120</t>
  </si>
  <si>
    <t>N3/Lastbil</t>
  </si>
  <si>
    <t>MAN</t>
  </si>
  <si>
    <t>TGM 15.250 4x2 LL</t>
  </si>
  <si>
    <t>WMAN26ZZ4HY358495</t>
  </si>
  <si>
    <t>21.1.2027</t>
  </si>
  <si>
    <t>22.1.2026</t>
  </si>
  <si>
    <t>21.3.2017</t>
  </si>
  <si>
    <t>LPN-801</t>
  </si>
  <si>
    <t>TGE</t>
  </si>
  <si>
    <t>WMA16VUZ4M9005215</t>
  </si>
  <si>
    <t>4.2.2021</t>
  </si>
  <si>
    <t>GOE-977</t>
  </si>
  <si>
    <t>Sprinter 519 CDI</t>
  </si>
  <si>
    <t>W1V9071551N091366</t>
  </si>
  <si>
    <t>31.5.2027</t>
  </si>
  <si>
    <t>29.5.2020</t>
  </si>
  <si>
    <t>IPH-626</t>
  </si>
  <si>
    <t>KANGOO</t>
  </si>
  <si>
    <t>VF1WF000964388774</t>
  </si>
  <si>
    <t>16.2.2028</t>
  </si>
  <si>
    <t>11.3.2024</t>
  </si>
  <si>
    <t>21.1.2020</t>
  </si>
  <si>
    <t>KPR-444</t>
  </si>
  <si>
    <t>WV1ZZZ2KZCX007520</t>
  </si>
  <si>
    <t>2.7.2025</t>
  </si>
  <si>
    <t>2.7.2026</t>
  </si>
  <si>
    <t>25.11.2025</t>
  </si>
  <si>
    <t>27.7.2011</t>
  </si>
  <si>
    <t>UZF-789</t>
  </si>
  <si>
    <t>WV1ZZZ2KZCX100230</t>
  </si>
  <si>
    <t>27.1.2026</t>
  </si>
  <si>
    <t>27.1.2027</t>
  </si>
  <si>
    <t>20.2.2026</t>
  </si>
  <si>
    <t>23.2.2026</t>
  </si>
  <si>
    <t>3.5.2016</t>
  </si>
  <si>
    <t>28.11.2012</t>
  </si>
  <si>
    <t>XTO-875</t>
  </si>
  <si>
    <t>WV1ZZZ2KZCX024146</t>
  </si>
  <si>
    <t>28.1.2026</t>
  </si>
  <si>
    <t>18.2.2026</t>
  </si>
  <si>
    <t>4.3.2026</t>
  </si>
  <si>
    <t>9.9.2011</t>
  </si>
  <si>
    <t>NJM-549</t>
  </si>
  <si>
    <t>WV2ZZZ2KZEX067225</t>
  </si>
  <si>
    <t>21.10.2025</t>
  </si>
  <si>
    <t>21.10.2026</t>
  </si>
  <si>
    <t>2.4.2025</t>
  </si>
  <si>
    <t>28.11.2013</t>
  </si>
  <si>
    <t>BRK-530</t>
  </si>
  <si>
    <t>Volvo</t>
  </si>
  <si>
    <t>FL-FLL42 RD-4*2 / 4700</t>
  </si>
  <si>
    <t>YV2TN12A9BB598743</t>
  </si>
  <si>
    <t>14.10.2026</t>
  </si>
  <si>
    <t>4.10.2017</t>
  </si>
  <si>
    <t>31.8.2011</t>
  </si>
  <si>
    <t>YJB-335</t>
  </si>
  <si>
    <t>FM</t>
  </si>
  <si>
    <t>YV2XTW0CXGA787522</t>
  </si>
  <si>
    <t>28.9.2026</t>
  </si>
  <si>
    <t>2.5.2024</t>
  </si>
  <si>
    <t>24.2.2016</t>
  </si>
  <si>
    <t>7.5.2024</t>
  </si>
  <si>
    <t>DSF-414</t>
  </si>
  <si>
    <t>Blyss</t>
  </si>
  <si>
    <t>WB2A250P2M0061107</t>
  </si>
  <si>
    <t>Oravais Servicetrafik Ab. Slagfältsvägen 51, 66800 ORAVAIS</t>
  </si>
  <si>
    <t>28.10.2024</t>
  </si>
  <si>
    <t>31.12.2026</t>
  </si>
  <si>
    <t>7.4.2026</t>
  </si>
  <si>
    <t>9.12.2022</t>
  </si>
  <si>
    <t>427-SAA</t>
  </si>
  <si>
    <t>T/Traktor</t>
  </si>
  <si>
    <t>Case IH</t>
  </si>
  <si>
    <t>MX120-4X4/270</t>
  </si>
  <si>
    <t>JJE0964388</t>
  </si>
  <si>
    <t>16.4.2024</t>
  </si>
  <si>
    <t>17.4.2024</t>
  </si>
  <si>
    <t>3.7.2000</t>
  </si>
  <si>
    <t>YIL-512</t>
  </si>
  <si>
    <t>VF77E9HF8DJ739367</t>
  </si>
  <si>
    <t>10.11.2025</t>
  </si>
  <si>
    <t>12.6.2025</t>
  </si>
  <si>
    <t>8.11.2013</t>
  </si>
  <si>
    <t>YIM-257</t>
  </si>
  <si>
    <t>VF77E9HF8DJ739370</t>
  </si>
  <si>
    <t>19.12.2025</t>
  </si>
  <si>
    <t>30.9.2025</t>
  </si>
  <si>
    <t>11.11.2013</t>
  </si>
  <si>
    <t>YIM-259</t>
  </si>
  <si>
    <t>VF77E9HF8DJ743860</t>
  </si>
  <si>
    <t>25.7.2025</t>
  </si>
  <si>
    <t>27.7.2026</t>
  </si>
  <si>
    <t>VVB-271</t>
  </si>
  <si>
    <t>VF77E9HF8DJ719704</t>
  </si>
  <si>
    <t>27.9.2025</t>
  </si>
  <si>
    <t>3.10.2025</t>
  </si>
  <si>
    <t>23.9.2025</t>
  </si>
  <si>
    <t>RSL-804</t>
  </si>
  <si>
    <t>VF7XURHHAGZ026865</t>
  </si>
  <si>
    <t>Avställning. Befrielse från bilskatt</t>
  </si>
  <si>
    <t>10.6.2025</t>
  </si>
  <si>
    <t>MOH-170</t>
  </si>
  <si>
    <t>Fiat Fiorino</t>
  </si>
  <si>
    <t>ZFA22500000264669</t>
  </si>
  <si>
    <t>28.11.2024</t>
  </si>
  <si>
    <t>28.11.2025</t>
  </si>
  <si>
    <t>17.5.2023</t>
  </si>
  <si>
    <t>1.2.2012</t>
  </si>
  <si>
    <t>GHY-366</t>
  </si>
  <si>
    <t>M1/Personbil</t>
  </si>
  <si>
    <t>FOCUS</t>
  </si>
  <si>
    <t>WF0PXXGCDP8A57754</t>
  </si>
  <si>
    <t>Svens, Mikael Nils-Erik</t>
  </si>
  <si>
    <t>12.1.2026</t>
  </si>
  <si>
    <t>12.1.2027</t>
  </si>
  <si>
    <t>26.7.2024</t>
  </si>
  <si>
    <t>29.7.2024</t>
  </si>
  <si>
    <t>27.1.2009</t>
  </si>
  <si>
    <t>FNK-418</t>
  </si>
  <si>
    <t>FIESTA</t>
  </si>
  <si>
    <t>WF0DXXGAJD7T52419</t>
  </si>
  <si>
    <t>25.11.2022</t>
  </si>
  <si>
    <t>27.11.2023</t>
  </si>
  <si>
    <t>16.12.2022</t>
  </si>
  <si>
    <t>23.10.2007</t>
  </si>
  <si>
    <t>416-LX</t>
  </si>
  <si>
    <t>MUU/ÖVRIG</t>
  </si>
  <si>
    <t>Massey Ferguson</t>
  </si>
  <si>
    <t>MF185/2080</t>
  </si>
  <si>
    <t>MBH323455</t>
  </si>
  <si>
    <t>Svens, Björn Leif Johan</t>
  </si>
  <si>
    <t>4.6.2025</t>
  </si>
  <si>
    <t>IUY-768</t>
  </si>
  <si>
    <t>VITO 111 CDI</t>
  </si>
  <si>
    <t>WDF63960123308989</t>
  </si>
  <si>
    <t>21.4.2022</t>
  </si>
  <si>
    <t>21.4.2023</t>
  </si>
  <si>
    <t>28.4.2021</t>
  </si>
  <si>
    <t>12.3.2007</t>
  </si>
  <si>
    <t>IUY-765</t>
  </si>
  <si>
    <t>WDF63960123309503</t>
  </si>
  <si>
    <t>9.11.2022</t>
  </si>
  <si>
    <t>9.11.2023</t>
  </si>
  <si>
    <t>27.11.2022</t>
  </si>
  <si>
    <t>28.11.2022</t>
  </si>
  <si>
    <t>8.3.2007</t>
  </si>
  <si>
    <t>VTM-238</t>
  </si>
  <si>
    <t>914-42.5-37</t>
  </si>
  <si>
    <t>11.7.2023</t>
  </si>
  <si>
    <t>11.7.2024</t>
  </si>
  <si>
    <t>12.7.2023</t>
  </si>
  <si>
    <t>AKI-975</t>
  </si>
  <si>
    <t>SPRINTER 308 CDI</t>
  </si>
  <si>
    <t>WDB9036622R912097</t>
  </si>
  <si>
    <t>22.4.2025</t>
  </si>
  <si>
    <t>21.12.2021</t>
  </si>
  <si>
    <t>27.11.2006</t>
  </si>
  <si>
    <t>KLX-855</t>
  </si>
  <si>
    <t>M2/Buss</t>
  </si>
  <si>
    <t>SPRINTER 516 CDI</t>
  </si>
  <si>
    <t>WDB9066571S447789</t>
  </si>
  <si>
    <t>4.8.2025</t>
  </si>
  <si>
    <t>4.8.2026</t>
  </si>
  <si>
    <t>2.8.2024</t>
  </si>
  <si>
    <t>12.8.2024</t>
  </si>
  <si>
    <t>9.6.2010</t>
  </si>
  <si>
    <t>YHX-511</t>
  </si>
  <si>
    <t>WDF63960123692133</t>
  </si>
  <si>
    <t>1.2.2023</t>
  </si>
  <si>
    <t>1.2.2024</t>
  </si>
  <si>
    <t>29.1.2020</t>
  </si>
  <si>
    <t>3.2.2020</t>
  </si>
  <si>
    <t>13.12.2011</t>
  </si>
  <si>
    <t>YJE-740</t>
  </si>
  <si>
    <t>WDB9066331P339244</t>
  </si>
  <si>
    <t>23.11.2022</t>
  </si>
  <si>
    <t>24.11.2022</t>
  </si>
  <si>
    <t>26.1.2017</t>
  </si>
  <si>
    <t>CLG-114</t>
  </si>
  <si>
    <t>WDB9066571P322171</t>
  </si>
  <si>
    <t>10.4.2026</t>
  </si>
  <si>
    <t>12.4.2027</t>
  </si>
  <si>
    <t>29.10.2021</t>
  </si>
  <si>
    <t>23.1.2017</t>
  </si>
  <si>
    <t>EUX-886</t>
  </si>
  <si>
    <t>E 300 de</t>
  </si>
  <si>
    <t>WDD2132161A606029</t>
  </si>
  <si>
    <t>15.4.2026</t>
  </si>
  <si>
    <t>20.4.2027</t>
  </si>
  <si>
    <t>9.5.2025</t>
  </si>
  <si>
    <t>2.8.2023</t>
  </si>
  <si>
    <t>29.3.2019</t>
  </si>
  <si>
    <t>(OVC-HEV) Extern uppladdning</t>
  </si>
  <si>
    <t>RVP-357</t>
  </si>
  <si>
    <t>W1K2132161A860888</t>
  </si>
  <si>
    <t>18.12.2025</t>
  </si>
  <si>
    <t>18.12.2026</t>
  </si>
  <si>
    <t>2.12.2023</t>
  </si>
  <si>
    <t>5.12.2023</t>
  </si>
  <si>
    <t>3.8.2020</t>
  </si>
  <si>
    <t>FSH-363</t>
  </si>
  <si>
    <t>Mitsubishi Fuso</t>
  </si>
  <si>
    <t>Canter</t>
  </si>
  <si>
    <t>TYBFE85SH6DV10862</t>
  </si>
  <si>
    <t>13.1.2027</t>
  </si>
  <si>
    <t>21.1.2025</t>
  </si>
  <si>
    <t>18.12.2013</t>
  </si>
  <si>
    <t>Euro V</t>
  </si>
  <si>
    <t>SNB-741</t>
  </si>
  <si>
    <t>ASTRA SPORTS TOURER</t>
  </si>
  <si>
    <t>W0LPD8EUXC8029197</t>
  </si>
  <si>
    <t>Grankvist, Mikael Henrik Andreas</t>
  </si>
  <si>
    <t>30.3.2026</t>
  </si>
  <si>
    <t>30.3.2027</t>
  </si>
  <si>
    <t>IF</t>
  </si>
  <si>
    <t>28.3.2012</t>
  </si>
  <si>
    <t>VMZ-417</t>
  </si>
  <si>
    <t>W0LSC9CK4D4045974</t>
  </si>
  <si>
    <t>16.10.2020</t>
  </si>
  <si>
    <t>7.11.2022</t>
  </si>
  <si>
    <t>21.8.2021</t>
  </si>
  <si>
    <t>23.8.2021</t>
  </si>
  <si>
    <t>SLB-122</t>
  </si>
  <si>
    <t>W0LSC9CK0D4058138</t>
  </si>
  <si>
    <t>2.2.2023</t>
  </si>
  <si>
    <t>2.2.2024</t>
  </si>
  <si>
    <t>6.9.2021</t>
  </si>
  <si>
    <t>1.8.2022</t>
  </si>
  <si>
    <t>UTZ-526</t>
  </si>
  <si>
    <t>W0LSC9CK5D4042226</t>
  </si>
  <si>
    <t>19.4.2023</t>
  </si>
  <si>
    <t>19.4.2024</t>
  </si>
  <si>
    <t>10.3.2023</t>
  </si>
  <si>
    <t>7.3.2023</t>
  </si>
  <si>
    <t>VPZ-479</t>
  </si>
  <si>
    <t>W0LSC9CK6D4044292</t>
  </si>
  <si>
    <t>18.4.2024</t>
  </si>
  <si>
    <t>12.1.2024</t>
  </si>
  <si>
    <t>15.1.2024</t>
  </si>
  <si>
    <t>LSZ-566</t>
  </si>
  <si>
    <t>W0LSC9CK7D4123213</t>
  </si>
  <si>
    <t>Returnering av bilskatt. Avställning. Periodisk besiktning har inte utförts/godkänts</t>
  </si>
  <si>
    <t>5.5.2023</t>
  </si>
  <si>
    <t>6.5.2024</t>
  </si>
  <si>
    <t>12.4.2013</t>
  </si>
  <si>
    <t>MLH-326</t>
  </si>
  <si>
    <t>W0LSC9CK2D4122356</t>
  </si>
  <si>
    <t>16.3.2023</t>
  </si>
  <si>
    <t>18.3.2024</t>
  </si>
  <si>
    <t>22.1.2024</t>
  </si>
  <si>
    <t>MLH-354</t>
  </si>
  <si>
    <t>W0LSC9CK8D4122510</t>
  </si>
  <si>
    <t>2.4.2024</t>
  </si>
  <si>
    <t>7.9.2023</t>
  </si>
  <si>
    <t>19.9.2023</t>
  </si>
  <si>
    <t>2.4.2013</t>
  </si>
  <si>
    <t>MOH-171</t>
  </si>
  <si>
    <t>W0LSD9EK6E4044188</t>
  </si>
  <si>
    <t>20.5.2025</t>
  </si>
  <si>
    <t>20.5.2026</t>
  </si>
  <si>
    <t>19.5.2023</t>
  </si>
  <si>
    <t>3.3.2023</t>
  </si>
  <si>
    <t>26.11.2013</t>
  </si>
  <si>
    <t>VEZ-174</t>
  </si>
  <si>
    <t>Boxer</t>
  </si>
  <si>
    <t>VF3YEHMMC11717823</t>
  </si>
  <si>
    <t>3.12.2021</t>
  </si>
  <si>
    <t>5.12.2022</t>
  </si>
  <si>
    <t>9.7.2022</t>
  </si>
  <si>
    <t>11.7.2022</t>
  </si>
  <si>
    <t>17.10.2011</t>
  </si>
  <si>
    <t>10.10.2011</t>
  </si>
  <si>
    <t>EML-279</t>
  </si>
  <si>
    <t>VF37F9HF8DJ604143</t>
  </si>
  <si>
    <t>17.6.2025</t>
  </si>
  <si>
    <t>10.7.2026</t>
  </si>
  <si>
    <t>27.11.2025</t>
  </si>
  <si>
    <t>GOZ-338</t>
  </si>
  <si>
    <t>Kangoo</t>
  </si>
  <si>
    <t>VF1FW24J356630153</t>
  </si>
  <si>
    <t>2.12.2025</t>
  </si>
  <si>
    <t>16.1.2017</t>
  </si>
  <si>
    <t>GOZ-336</t>
  </si>
  <si>
    <t>VF1FWD3BA51764874</t>
  </si>
  <si>
    <t>7.12.2026</t>
  </si>
  <si>
    <t>17.11.2014</t>
  </si>
  <si>
    <t>GOZ-339</t>
  </si>
  <si>
    <t>VF1FW24J356630168</t>
  </si>
  <si>
    <t>Periodisk besiktning har inte utförts/godkänts. Befrielse från bilskatt</t>
  </si>
  <si>
    <t>6.11.2023</t>
  </si>
  <si>
    <t>6.11.2025</t>
  </si>
  <si>
    <t>21.4.2017</t>
  </si>
  <si>
    <t>GOZ-337</t>
  </si>
  <si>
    <t>Umpikorinen (BB) 6ov 1197cm3 A</t>
  </si>
  <si>
    <t>VF1FW24J360201191</t>
  </si>
  <si>
    <t>1.11.2023</t>
  </si>
  <si>
    <t>28.5.2018</t>
  </si>
  <si>
    <t>XXY-383</t>
  </si>
  <si>
    <t>TMBKF75LXB6058930</t>
  </si>
  <si>
    <t>19.6.2025</t>
  </si>
  <si>
    <t>25.6.2026</t>
  </si>
  <si>
    <t>21.3.2023</t>
  </si>
  <si>
    <t>ETI-680</t>
  </si>
  <si>
    <t>TMBKF75L9B6057848</t>
  </si>
  <si>
    <t>10.5.2023</t>
  </si>
  <si>
    <t>10.5.2024</t>
  </si>
  <si>
    <t>20.7.2023</t>
  </si>
  <si>
    <t>12.7.2011</t>
  </si>
  <si>
    <t>CIX-434</t>
  </si>
  <si>
    <t>TMBKF75L8D6012435</t>
  </si>
  <si>
    <t>1.3.2023</t>
  </si>
  <si>
    <t>12.9.2023</t>
  </si>
  <si>
    <t>7.9.2012</t>
  </si>
  <si>
    <t>SKI-501</t>
  </si>
  <si>
    <t>Suzuki</t>
  </si>
  <si>
    <t>GRAND VITARA XL-7</t>
  </si>
  <si>
    <t>JSAHTX92V00209561</t>
  </si>
  <si>
    <t>Stenmark, Sebastian Allan Simon</t>
  </si>
  <si>
    <t>9.11.2026</t>
  </si>
  <si>
    <t>16.3.2021</t>
  </si>
  <si>
    <t>Suomen Vahinkovakuutus</t>
  </si>
  <si>
    <t>5.12.2005</t>
  </si>
  <si>
    <t>TYV-247</t>
  </si>
  <si>
    <t>WV2ZZZ70Z3H125172</t>
  </si>
  <si>
    <t>22.12.2022</t>
  </si>
  <si>
    <t>24.6.2021</t>
  </si>
  <si>
    <t>22.6.2021</t>
  </si>
  <si>
    <t>7.10.2003</t>
  </si>
  <si>
    <t>UMY-968</t>
  </si>
  <si>
    <t>WV2ZZZ7HZ5H094475</t>
  </si>
  <si>
    <t>6.3.2021</t>
  </si>
  <si>
    <t>7.3.2022</t>
  </si>
  <si>
    <t>30.9.2021</t>
  </si>
  <si>
    <t>31.10.2005</t>
  </si>
  <si>
    <t>MUI-805</t>
  </si>
  <si>
    <t>WV1ZZZ2KZ7X098889</t>
  </si>
  <si>
    <t>6.9.2023</t>
  </si>
  <si>
    <t>6.9.2024</t>
  </si>
  <si>
    <t>3.2.2023</t>
  </si>
  <si>
    <t>31.7.2007</t>
  </si>
  <si>
    <t>IYT-418</t>
  </si>
  <si>
    <t>WV2ZZZ2KZ8X123093</t>
  </si>
  <si>
    <t>19.2.2025</t>
  </si>
  <si>
    <t>19.2.2026</t>
  </si>
  <si>
    <t>21.2.2025</t>
  </si>
  <si>
    <t>5.6.2008</t>
  </si>
  <si>
    <t>XLY-496</t>
  </si>
  <si>
    <t>WV2ZZZ2KZ8X090806</t>
  </si>
  <si>
    <t>7.2.2025</t>
  </si>
  <si>
    <t>9.2.2026</t>
  </si>
  <si>
    <t>21.10.2024</t>
  </si>
  <si>
    <t>26.3.2008</t>
  </si>
  <si>
    <t>IXE-834</t>
  </si>
  <si>
    <t>WV2ZZZ2KZ8X147462</t>
  </si>
  <si>
    <t>15.9.2025</t>
  </si>
  <si>
    <t>15.9.2026</t>
  </si>
  <si>
    <t>12.8.2023</t>
  </si>
  <si>
    <t>13.8.2023</t>
  </si>
  <si>
    <t>21.8.2008</t>
  </si>
  <si>
    <t>ZBZ-422</t>
  </si>
  <si>
    <t>WV2ZZZ2KZ8X136759</t>
  </si>
  <si>
    <t>10.11.2022</t>
  </si>
  <si>
    <t>20.11.2023</t>
  </si>
  <si>
    <t>4.4.2023</t>
  </si>
  <si>
    <t>15.12.2008</t>
  </si>
  <si>
    <t>BBZ-113</t>
  </si>
  <si>
    <t>WV2ZZZ2KZ8X154504</t>
  </si>
  <si>
    <t>13.6.2025</t>
  </si>
  <si>
    <t>4.6.2024</t>
  </si>
  <si>
    <t>5.6.2024</t>
  </si>
  <si>
    <t>21.10.2008</t>
  </si>
  <si>
    <t>BKZ-114</t>
  </si>
  <si>
    <t>WV2ZZZ2KZ9X088186</t>
  </si>
  <si>
    <t>24.2.2023</t>
  </si>
  <si>
    <t>29.1.2009</t>
  </si>
  <si>
    <t>BJZ-839</t>
  </si>
  <si>
    <t>WV2ZZZ2KZ9X088492</t>
  </si>
  <si>
    <t>14.4.2026</t>
  </si>
  <si>
    <t>14.4.2027</t>
  </si>
  <si>
    <t>24.10.2024</t>
  </si>
  <si>
    <t>13.2.2009</t>
  </si>
  <si>
    <t>BJZ-861</t>
  </si>
  <si>
    <t>WV2ZZZ2KZ9X089339</t>
  </si>
  <si>
    <t>25.10.2022</t>
  </si>
  <si>
    <t>15.11.2023</t>
  </si>
  <si>
    <t>19.1.2024</t>
  </si>
  <si>
    <t>24.2.2009</t>
  </si>
  <si>
    <t>FJN-432</t>
  </si>
  <si>
    <t>Caddy</t>
  </si>
  <si>
    <t>WV1ZZZ2KZAX042469</t>
  </si>
  <si>
    <t>23.1.2024</t>
  </si>
  <si>
    <t>7.11.2024</t>
  </si>
  <si>
    <t>20.1.2010</t>
  </si>
  <si>
    <t>OMZ-339</t>
  </si>
  <si>
    <t>WV1ZZZ2KZAX039662</t>
  </si>
  <si>
    <t>Avställning. Periodisk besiktning har inte utförts/godkänts. Återkallelse</t>
  </si>
  <si>
    <t>6.2.2025</t>
  </si>
  <si>
    <t>30.12.2024</t>
  </si>
  <si>
    <t>18.1.2010</t>
  </si>
  <si>
    <t>LYY-814</t>
  </si>
  <si>
    <t>WV1ZZZ2KZAX037072</t>
  </si>
  <si>
    <t>25.11.2026</t>
  </si>
  <si>
    <t>18.7.2023</t>
  </si>
  <si>
    <t>17.7.2023</t>
  </si>
  <si>
    <t>13.11.2009</t>
  </si>
  <si>
    <t>MAZ-660</t>
  </si>
  <si>
    <t>WV1ZZZ2KZAX127451</t>
  </si>
  <si>
    <t>19.11.2025</t>
  </si>
  <si>
    <t>19.11.2026</t>
  </si>
  <si>
    <t>2.12.2024</t>
  </si>
  <si>
    <t>4.12.2024</t>
  </si>
  <si>
    <t>29.11.2010</t>
  </si>
  <si>
    <t>EKZ-170</t>
  </si>
  <si>
    <t>WV1ZZZ2KZAX140789</t>
  </si>
  <si>
    <t>15.1.2026</t>
  </si>
  <si>
    <t>10.2.2027</t>
  </si>
  <si>
    <t>14.2.2025</t>
  </si>
  <si>
    <t>9.12.2010</t>
  </si>
  <si>
    <t>BOC-704</t>
  </si>
  <si>
    <t>WV1ZZZ2KZAX145098</t>
  </si>
  <si>
    <t>13.11.2023</t>
  </si>
  <si>
    <t>8.12.2010</t>
  </si>
  <si>
    <t>BOC-710</t>
  </si>
  <si>
    <t>WV1ZZZ2KZAX145422</t>
  </si>
  <si>
    <t>22.11.2024</t>
  </si>
  <si>
    <t>14.12.2010</t>
  </si>
  <si>
    <t>IJK-274</t>
  </si>
  <si>
    <t>WV1ZZZ2KZAX131227</t>
  </si>
  <si>
    <t>18.8.2023</t>
  </si>
  <si>
    <t>28.8.2023</t>
  </si>
  <si>
    <t>BOB-764</t>
  </si>
  <si>
    <t>WV1ZZZ2KZAX139956</t>
  </si>
  <si>
    <t>26.2.2026</t>
  </si>
  <si>
    <t>5.3.2027</t>
  </si>
  <si>
    <t>24.8.2023</t>
  </si>
  <si>
    <t>ECZ-366</t>
  </si>
  <si>
    <t>WV1ZZZ2KZAX009233</t>
  </si>
  <si>
    <t>5.10.2023</t>
  </si>
  <si>
    <t>10.10.2023</t>
  </si>
  <si>
    <t>2.10.2009</t>
  </si>
  <si>
    <t>AKZ-433</t>
  </si>
  <si>
    <t>WV1ZZZ2KZAX003470</t>
  </si>
  <si>
    <t>3.10.2023</t>
  </si>
  <si>
    <t>3.10.2024</t>
  </si>
  <si>
    <t>30.10.2023</t>
  </si>
  <si>
    <t>31.10.2023</t>
  </si>
  <si>
    <t>29.9.2009</t>
  </si>
  <si>
    <t>AKZ-443</t>
  </si>
  <si>
    <t>WV1ZZZ2KZAX004368</t>
  </si>
  <si>
    <t>23.9.2024</t>
  </si>
  <si>
    <t>28.9.2009</t>
  </si>
  <si>
    <t>FJJ-976</t>
  </si>
  <si>
    <t>WV1ZZZ2KZ9X128223</t>
  </si>
  <si>
    <t>27.4.2022</t>
  </si>
  <si>
    <t>27.4.2023</t>
  </si>
  <si>
    <t>19.7.2023</t>
  </si>
  <si>
    <t>22.6.2009</t>
  </si>
  <si>
    <t>KRJ-368</t>
  </si>
  <si>
    <t>WV1ZZZ2KZCX046260</t>
  </si>
  <si>
    <t>16.1.2024</t>
  </si>
  <si>
    <t>26.10.2011</t>
  </si>
  <si>
    <t>BPX-195</t>
  </si>
  <si>
    <t>WV1ZZZ2KZDX011816</t>
  </si>
  <si>
    <t>16.9.2025</t>
  </si>
  <si>
    <t>16.9.2026</t>
  </si>
  <si>
    <t>6.8.2012</t>
  </si>
  <si>
    <t>IKS-937</t>
  </si>
  <si>
    <t>WV1ZZZ7HZDH037687</t>
  </si>
  <si>
    <t>18.3.2026</t>
  </si>
  <si>
    <t>18.3.2027</t>
  </si>
  <si>
    <t>18.1.2024</t>
  </si>
  <si>
    <t>25.10.2012</t>
  </si>
  <si>
    <t>KMM-124</t>
  </si>
  <si>
    <t>WV1ZZZ2KZEX047942</t>
  </si>
  <si>
    <t>23.12.2024</t>
  </si>
  <si>
    <t>23.12.2025</t>
  </si>
  <si>
    <t>3.6.2025</t>
  </si>
  <si>
    <t>16.6.2025</t>
  </si>
  <si>
    <t>JJC-376</t>
  </si>
  <si>
    <t>WV1ZZZ2KZEX048738</t>
  </si>
  <si>
    <t>7.7.2025</t>
  </si>
  <si>
    <t>7.7.2026</t>
  </si>
  <si>
    <t>2.6.2025</t>
  </si>
  <si>
    <t>28.12.2013</t>
  </si>
  <si>
    <t>GKY-172</t>
  </si>
  <si>
    <t>WV1ZZZ2KZEX050210</t>
  </si>
  <si>
    <t>1.12.2023</t>
  </si>
  <si>
    <t>7.6.2024</t>
  </si>
  <si>
    <t>30.12.2013</t>
  </si>
  <si>
    <t>XVK-319</t>
  </si>
  <si>
    <t>WV1ZZZ7HZEH006182</t>
  </si>
  <si>
    <t>15.7.2024</t>
  </si>
  <si>
    <t>14.9.2022</t>
  </si>
  <si>
    <t>11.7.2013</t>
  </si>
  <si>
    <t>XVK-334</t>
  </si>
  <si>
    <t>WV1ZZZ7HZEH006443</t>
  </si>
  <si>
    <t>20.9.2024</t>
  </si>
  <si>
    <t>9.7.2013</t>
  </si>
  <si>
    <t>KMO-574</t>
  </si>
  <si>
    <t>WV1ZZZ2KZFX019851</t>
  </si>
  <si>
    <t>Periodisk besiktning har inte utförts/godkänts</t>
  </si>
  <si>
    <t>14.8.2024</t>
  </si>
  <si>
    <t>14.8.2025</t>
  </si>
  <si>
    <t>12.8.2014</t>
  </si>
  <si>
    <t>USF-166</t>
  </si>
  <si>
    <t>WV1ZZZ2KZFX023390</t>
  </si>
  <si>
    <t>14.5.2025</t>
  </si>
  <si>
    <t>4.12.2025</t>
  </si>
  <si>
    <t>USF-169</t>
  </si>
  <si>
    <t>WV1ZZZ2KZFX023589</t>
  </si>
  <si>
    <t>15.1.2027</t>
  </si>
  <si>
    <t>VXP-688</t>
  </si>
  <si>
    <t>WV1ZZZ2KZFX062507</t>
  </si>
  <si>
    <t>2.3.2023</t>
  </si>
  <si>
    <t>17.12.2024</t>
  </si>
  <si>
    <t>17.12.2014</t>
  </si>
  <si>
    <t>YKU-566</t>
  </si>
  <si>
    <t>ID.4 PRO 150 KW</t>
  </si>
  <si>
    <t>WVGZZZE2ZMP001312</t>
  </si>
  <si>
    <t>Elektricitet</t>
  </si>
  <si>
    <t>15.8.2022</t>
  </si>
  <si>
    <t>28.12.2020</t>
  </si>
  <si>
    <t>JMR-900</t>
  </si>
  <si>
    <t>WV2ZZZSK3PX022321</t>
  </si>
  <si>
    <t>20.3.2025</t>
  </si>
  <si>
    <t>9.1.2023</t>
  </si>
  <si>
    <t>JOC-393</t>
  </si>
  <si>
    <t>WV2ZZZSKXSX100814</t>
  </si>
  <si>
    <t>4.11.2025</t>
  </si>
  <si>
    <t>4.11.2026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</si>
</sst>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0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E160"/>
  <sheetViews>
    <sheetView workbookViewId="0" showGridLines="0" defaultGridColor="1"/>
  </sheetViews>
  <sheetFormatPr defaultColWidth="8.33333" defaultRowHeight="19.9" customHeight="1" outlineLevelRow="0" outlineLevelCol="0"/>
  <cols>
    <col min="1" max="1" width="18.8516" style="1" customWidth="1"/>
    <col min="2" max="2" width="17.5" style="1" customWidth="1"/>
    <col min="3" max="3" width="14.6719" style="1" customWidth="1"/>
    <col min="4" max="4" width="13.8516" style="1" customWidth="1"/>
    <col min="5" max="5" width="16.8516" style="1" customWidth="1"/>
    <col min="6" max="6" width="9.67188" style="1" customWidth="1"/>
    <col min="7" max="7" width="19" style="1" customWidth="1"/>
    <col min="8" max="8" width="45.6719" style="1" customWidth="1"/>
    <col min="9" max="9" width="5.17188" style="1" customWidth="1"/>
    <col min="10" max="10" width="12.8516" style="1" customWidth="1"/>
    <col min="11" max="11" width="19.3516" style="1" customWidth="1"/>
    <col min="12" max="12" width="28" style="1" customWidth="1"/>
    <col min="13" max="13" width="60.8516" style="1" customWidth="1"/>
    <col min="14" max="14" width="22.5" style="1" customWidth="1"/>
    <col min="15" max="15" width="34.1719" style="1" customWidth="1"/>
    <col min="16" max="16" width="32" style="1" customWidth="1"/>
    <col min="17" max="17" width="15.6719" style="1" customWidth="1"/>
    <col min="18" max="18" width="14.6719" style="1" customWidth="1"/>
    <col min="19" max="19" width="20" style="1" customWidth="1"/>
    <col min="20" max="20" width="19.8516" style="1" customWidth="1"/>
    <col min="21" max="21" width="23.5" style="1" customWidth="1"/>
    <col min="22" max="22" width="8.67188" style="1" customWidth="1"/>
    <col min="23" max="23" width="27" style="1" customWidth="1"/>
    <col min="24" max="24" width="20.6719" style="1" customWidth="1"/>
    <col min="25" max="25" width="15.3516" style="1" customWidth="1"/>
    <col min="26" max="26" width="22" style="1" customWidth="1"/>
    <col min="27" max="27" width="24.1719" style="1" customWidth="1"/>
    <col min="28" max="28" width="17.5" style="1" customWidth="1"/>
    <col min="29" max="29" width="12.6719" style="1" customWidth="1"/>
    <col min="30" max="30" width="8" style="1" customWidth="1"/>
    <col min="31" max="31" width="23.5" style="1" customWidth="1"/>
    <col min="32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</row>
    <row r="3" ht="20.25" customHeight="1">
      <c r="A3" t="str" s="4" cm="1">
        <f t="array" ref="A3">"UXF-336"</f>
        <v>UXF-336</v>
      </c>
      <c r="B3" t="s" s="5">
        <v>33</v>
      </c>
      <c r="C3" t="s" s="6">
        <v>34</v>
      </c>
      <c r="D3" t="s" s="6">
        <v>35</v>
      </c>
      <c r="E3" t="s" s="6">
        <v>36</v>
      </c>
      <c r="F3" s="7">
        <v>1560</v>
      </c>
      <c r="G3" t="s" s="6">
        <v>37</v>
      </c>
      <c r="H3" t="s" s="6">
        <v>38</v>
      </c>
      <c r="I3" s="8"/>
      <c r="J3" t="s" s="6">
        <v>39</v>
      </c>
      <c r="K3" s="8"/>
      <c r="L3" s="8"/>
      <c r="M3" s="8"/>
      <c r="N3" s="8"/>
      <c r="O3" t="s" s="6">
        <v>40</v>
      </c>
      <c r="P3" t="s" s="6">
        <v>41</v>
      </c>
      <c r="Q3" t="s" s="6">
        <v>42</v>
      </c>
      <c r="R3" s="7">
        <v>122</v>
      </c>
      <c r="S3" s="8"/>
      <c r="T3" s="8"/>
      <c r="U3" s="8"/>
      <c r="V3" t="s" s="6">
        <v>43</v>
      </c>
      <c r="W3" t="s" s="6">
        <v>44</v>
      </c>
      <c r="X3" t="s" s="6">
        <v>45</v>
      </c>
      <c r="Y3" t="s" s="6">
        <v>46</v>
      </c>
      <c r="Z3" t="s" s="6">
        <v>47</v>
      </c>
      <c r="AA3" t="s" s="6">
        <v>48</v>
      </c>
      <c r="AB3" t="s" s="6">
        <v>48</v>
      </c>
      <c r="AC3" t="s" s="6">
        <v>49</v>
      </c>
      <c r="AD3" t="s" s="6">
        <v>50</v>
      </c>
      <c r="AE3" s="8"/>
    </row>
    <row r="4" ht="20.05" customHeight="1">
      <c r="A4" t="str" s="9" cm="1">
        <f t="array" ref="A4">"GKS-642"</f>
        <v>GKS-642</v>
      </c>
      <c r="B4" t="s" s="10">
        <v>52</v>
      </c>
      <c r="C4" t="s" s="11">
        <v>34</v>
      </c>
      <c r="D4" t="s" s="11">
        <v>35</v>
      </c>
      <c r="E4" t="s" s="11">
        <v>36</v>
      </c>
      <c r="F4" s="12">
        <v>1560</v>
      </c>
      <c r="G4" t="s" s="11">
        <v>53</v>
      </c>
      <c r="H4" t="s" s="11">
        <v>38</v>
      </c>
      <c r="I4" s="13"/>
      <c r="J4" t="s" s="11">
        <v>39</v>
      </c>
      <c r="K4" s="13"/>
      <c r="L4" s="13"/>
      <c r="M4" t="s" s="11">
        <v>54</v>
      </c>
      <c r="N4" s="13"/>
      <c r="O4" t="s" s="11">
        <v>55</v>
      </c>
      <c r="P4" t="s" s="11">
        <v>56</v>
      </c>
      <c r="Q4" t="s" s="11">
        <v>42</v>
      </c>
      <c r="R4" s="12">
        <v>122</v>
      </c>
      <c r="S4" s="13"/>
      <c r="T4" s="13"/>
      <c r="U4" s="13"/>
      <c r="V4" t="s" s="11">
        <v>43</v>
      </c>
      <c r="W4" t="s" s="11">
        <v>44</v>
      </c>
      <c r="X4" t="s" s="11">
        <v>57</v>
      </c>
      <c r="Y4" t="s" s="11">
        <v>46</v>
      </c>
      <c r="Z4" t="s" s="11">
        <v>58</v>
      </c>
      <c r="AA4" t="s" s="11">
        <v>59</v>
      </c>
      <c r="AB4" t="s" s="11">
        <v>59</v>
      </c>
      <c r="AC4" t="s" s="11">
        <v>49</v>
      </c>
      <c r="AD4" t="s" s="11">
        <v>50</v>
      </c>
      <c r="AE4" s="13"/>
    </row>
    <row r="5" ht="20.05" customHeight="1">
      <c r="A5" t="str" s="9" cm="1">
        <f t="array" ref="A5">"VXH-696"</f>
        <v>VXH-696</v>
      </c>
      <c r="B5" t="s" s="10">
        <v>33</v>
      </c>
      <c r="C5" t="s" s="11">
        <v>34</v>
      </c>
      <c r="D5" t="s" s="11">
        <v>35</v>
      </c>
      <c r="E5" t="s" s="11">
        <v>36</v>
      </c>
      <c r="F5" s="12">
        <v>1560</v>
      </c>
      <c r="G5" t="s" s="11">
        <v>61</v>
      </c>
      <c r="H5" t="s" s="11">
        <v>38</v>
      </c>
      <c r="I5" s="13"/>
      <c r="J5" t="s" s="11">
        <v>39</v>
      </c>
      <c r="K5" s="13"/>
      <c r="L5" s="13"/>
      <c r="M5" s="13"/>
      <c r="N5" s="13"/>
      <c r="O5" t="s" s="11">
        <v>62</v>
      </c>
      <c r="P5" t="s" s="11">
        <v>63</v>
      </c>
      <c r="Q5" t="s" s="11">
        <v>42</v>
      </c>
      <c r="R5" s="12">
        <v>122</v>
      </c>
      <c r="S5" s="13"/>
      <c r="T5" s="13"/>
      <c r="U5" s="13"/>
      <c r="V5" t="s" s="11">
        <v>43</v>
      </c>
      <c r="W5" t="s" s="11">
        <v>44</v>
      </c>
      <c r="X5" t="s" s="11">
        <v>64</v>
      </c>
      <c r="Y5" t="s" s="11">
        <v>46</v>
      </c>
      <c r="Z5" t="s" s="11">
        <v>64</v>
      </c>
      <c r="AA5" t="s" s="11">
        <v>65</v>
      </c>
      <c r="AB5" t="s" s="11">
        <v>65</v>
      </c>
      <c r="AC5" t="s" s="11">
        <v>49</v>
      </c>
      <c r="AD5" t="s" s="11">
        <v>50</v>
      </c>
      <c r="AE5" s="13"/>
    </row>
    <row r="6" ht="20.05" customHeight="1">
      <c r="A6" t="str" s="9" cm="1">
        <f t="array" ref="A6">"MMO-422"</f>
        <v>MMO-422</v>
      </c>
      <c r="B6" t="s" s="10">
        <v>33</v>
      </c>
      <c r="C6" t="s" s="11">
        <v>34</v>
      </c>
      <c r="D6" t="s" s="11">
        <v>35</v>
      </c>
      <c r="E6" t="s" s="11">
        <v>67</v>
      </c>
      <c r="F6" s="12">
        <v>1997</v>
      </c>
      <c r="G6" t="s" s="11">
        <v>68</v>
      </c>
      <c r="H6" t="s" s="11">
        <v>38</v>
      </c>
      <c r="I6" s="13"/>
      <c r="J6" t="s" s="11">
        <v>39</v>
      </c>
      <c r="K6" s="13"/>
      <c r="L6" s="13"/>
      <c r="M6" t="s" s="11">
        <v>69</v>
      </c>
      <c r="N6" s="13"/>
      <c r="O6" t="s" s="11">
        <v>70</v>
      </c>
      <c r="P6" t="s" s="11">
        <v>71</v>
      </c>
      <c r="Q6" t="s" s="11">
        <v>42</v>
      </c>
      <c r="R6" s="12">
        <v>189</v>
      </c>
      <c r="S6" s="13"/>
      <c r="T6" s="13"/>
      <c r="U6" s="13"/>
      <c r="V6" t="s" s="11">
        <v>43</v>
      </c>
      <c r="W6" t="s" s="11">
        <v>44</v>
      </c>
      <c r="X6" t="s" s="11">
        <v>72</v>
      </c>
      <c r="Y6" t="s" s="11">
        <v>46</v>
      </c>
      <c r="Z6" t="s" s="11">
        <v>72</v>
      </c>
      <c r="AA6" t="s" s="11">
        <v>73</v>
      </c>
      <c r="AB6" t="s" s="11">
        <v>73</v>
      </c>
      <c r="AC6" s="13"/>
      <c r="AD6" t="s" s="11">
        <v>50</v>
      </c>
      <c r="AE6" s="13"/>
    </row>
    <row r="7" ht="20.05" customHeight="1">
      <c r="A7" t="str" s="9" cm="1">
        <f t="array" ref="A7">"OVB-344"</f>
        <v>OVB-344</v>
      </c>
      <c r="B7" t="s" s="10">
        <v>33</v>
      </c>
      <c r="C7" t="s" s="11">
        <v>34</v>
      </c>
      <c r="D7" t="s" s="11">
        <v>35</v>
      </c>
      <c r="E7" t="s" s="11">
        <v>67</v>
      </c>
      <c r="F7" s="12">
        <v>1997</v>
      </c>
      <c r="G7" t="s" s="11">
        <v>75</v>
      </c>
      <c r="H7" t="s" s="11">
        <v>38</v>
      </c>
      <c r="I7" s="13"/>
      <c r="J7" t="s" s="11">
        <v>39</v>
      </c>
      <c r="K7" s="13"/>
      <c r="L7" s="13"/>
      <c r="M7" t="s" s="11">
        <v>69</v>
      </c>
      <c r="N7" s="13"/>
      <c r="O7" t="s" s="11">
        <v>76</v>
      </c>
      <c r="P7" t="s" s="11">
        <v>77</v>
      </c>
      <c r="Q7" t="s" s="11">
        <v>42</v>
      </c>
      <c r="R7" s="12">
        <v>189</v>
      </c>
      <c r="S7" s="13"/>
      <c r="T7" s="13"/>
      <c r="U7" s="13"/>
      <c r="V7" t="s" s="11">
        <v>43</v>
      </c>
      <c r="W7" t="s" s="11">
        <v>44</v>
      </c>
      <c r="X7" t="s" s="11">
        <v>78</v>
      </c>
      <c r="Y7" t="s" s="11">
        <v>46</v>
      </c>
      <c r="Z7" t="s" s="11">
        <v>78</v>
      </c>
      <c r="AA7" t="s" s="11">
        <v>79</v>
      </c>
      <c r="AB7" t="s" s="11">
        <v>79</v>
      </c>
      <c r="AC7" s="13"/>
      <c r="AD7" t="s" s="11">
        <v>50</v>
      </c>
      <c r="AE7" s="13"/>
    </row>
    <row r="8" ht="20.05" customHeight="1">
      <c r="A8" t="str" s="9" cm="1">
        <f t="array" ref="A8">"RSL-802"</f>
        <v>RSL-802</v>
      </c>
      <c r="B8" t="s" s="10">
        <v>33</v>
      </c>
      <c r="C8" t="s" s="11">
        <v>34</v>
      </c>
      <c r="D8" t="s" s="11">
        <v>35</v>
      </c>
      <c r="E8" t="s" s="11">
        <v>67</v>
      </c>
      <c r="F8" s="12">
        <v>1997</v>
      </c>
      <c r="G8" t="s" s="11">
        <v>81</v>
      </c>
      <c r="H8" t="s" s="11">
        <v>38</v>
      </c>
      <c r="I8" s="13"/>
      <c r="J8" t="s" s="11">
        <v>82</v>
      </c>
      <c r="K8" t="s" s="11">
        <v>83</v>
      </c>
      <c r="L8" t="s" s="11">
        <v>84</v>
      </c>
      <c r="M8" t="s" s="11">
        <v>69</v>
      </c>
      <c r="N8" s="13"/>
      <c r="O8" t="s" s="11">
        <v>85</v>
      </c>
      <c r="P8" t="s" s="11">
        <v>86</v>
      </c>
      <c r="Q8" t="s" s="11">
        <v>42</v>
      </c>
      <c r="R8" s="12">
        <v>189</v>
      </c>
      <c r="S8" s="13"/>
      <c r="T8" s="13"/>
      <c r="U8" s="13"/>
      <c r="V8" t="s" s="11">
        <v>43</v>
      </c>
      <c r="W8" t="s" s="11">
        <v>44</v>
      </c>
      <c r="X8" t="s" s="11">
        <v>72</v>
      </c>
      <c r="Y8" t="s" s="11">
        <v>46</v>
      </c>
      <c r="Z8" t="s" s="11">
        <v>72</v>
      </c>
      <c r="AA8" t="s" s="11">
        <v>87</v>
      </c>
      <c r="AB8" t="s" s="11">
        <v>87</v>
      </c>
      <c r="AC8" s="13"/>
      <c r="AD8" t="s" s="11">
        <v>50</v>
      </c>
      <c r="AE8" s="13"/>
    </row>
    <row r="9" ht="20.05" customHeight="1">
      <c r="A9" t="str" s="9" cm="1">
        <f t="array" ref="A9">"ERY-401"</f>
        <v>ERY-401</v>
      </c>
      <c r="B9" t="s" s="10">
        <v>33</v>
      </c>
      <c r="C9" t="s" s="11">
        <v>34</v>
      </c>
      <c r="D9" t="s" s="11">
        <v>89</v>
      </c>
      <c r="E9" t="s" s="11">
        <v>90</v>
      </c>
      <c r="F9" s="12">
        <v>2143</v>
      </c>
      <c r="G9" t="s" s="11">
        <v>91</v>
      </c>
      <c r="H9" t="s" s="11">
        <v>38</v>
      </c>
      <c r="I9" s="13"/>
      <c r="J9" t="s" s="11">
        <v>82</v>
      </c>
      <c r="K9" t="s" s="11">
        <v>83</v>
      </c>
      <c r="L9" t="s" s="11">
        <v>92</v>
      </c>
      <c r="M9" t="s" s="11">
        <v>69</v>
      </c>
      <c r="N9" s="13"/>
      <c r="O9" t="s" s="11">
        <v>93</v>
      </c>
      <c r="P9" t="s" s="11">
        <v>94</v>
      </c>
      <c r="Q9" t="s" s="11">
        <v>42</v>
      </c>
      <c r="R9" s="12">
        <v>211</v>
      </c>
      <c r="S9" s="13"/>
      <c r="T9" s="13"/>
      <c r="U9" s="13"/>
      <c r="V9" t="s" s="11">
        <v>43</v>
      </c>
      <c r="W9" t="s" s="11">
        <v>44</v>
      </c>
      <c r="X9" t="s" s="11">
        <v>95</v>
      </c>
      <c r="Y9" t="s" s="11">
        <v>46</v>
      </c>
      <c r="Z9" t="s" s="11">
        <v>95</v>
      </c>
      <c r="AA9" t="s" s="11">
        <v>96</v>
      </c>
      <c r="AB9" t="s" s="11">
        <v>96</v>
      </c>
      <c r="AC9" t="s" s="11">
        <v>49</v>
      </c>
      <c r="AD9" t="s" s="11">
        <v>50</v>
      </c>
      <c r="AE9" s="13"/>
    </row>
    <row r="10" ht="20.05" customHeight="1">
      <c r="A10" t="str" s="9" cm="1">
        <f t="array" ref="A10">"LZL-233"</f>
        <v>LZL-233</v>
      </c>
      <c r="B10" t="s" s="10">
        <v>52</v>
      </c>
      <c r="C10" t="s" s="11">
        <v>34</v>
      </c>
      <c r="D10" t="s" s="11">
        <v>89</v>
      </c>
      <c r="E10" t="s" s="11">
        <v>98</v>
      </c>
      <c r="F10" s="12">
        <v>2143</v>
      </c>
      <c r="G10" t="s" s="11">
        <v>99</v>
      </c>
      <c r="H10" t="s" s="11">
        <v>38</v>
      </c>
      <c r="I10" s="13"/>
      <c r="J10" t="s" s="11">
        <v>82</v>
      </c>
      <c r="K10" t="s" s="11">
        <v>83</v>
      </c>
      <c r="L10" t="s" s="11">
        <v>92</v>
      </c>
      <c r="M10" t="s" s="11">
        <v>100</v>
      </c>
      <c r="N10" s="13"/>
      <c r="O10" t="s" s="11">
        <v>101</v>
      </c>
      <c r="P10" t="s" s="11">
        <v>102</v>
      </c>
      <c r="Q10" t="s" s="11">
        <v>42</v>
      </c>
      <c r="R10" s="12">
        <v>211</v>
      </c>
      <c r="S10" s="13"/>
      <c r="T10" s="13"/>
      <c r="U10" s="13"/>
      <c r="V10" t="s" s="11">
        <v>43</v>
      </c>
      <c r="W10" t="s" s="11">
        <v>44</v>
      </c>
      <c r="X10" t="s" s="11">
        <v>95</v>
      </c>
      <c r="Y10" t="s" s="11">
        <v>46</v>
      </c>
      <c r="Z10" t="s" s="11">
        <v>95</v>
      </c>
      <c r="AA10" t="s" s="11">
        <v>103</v>
      </c>
      <c r="AB10" t="s" s="11">
        <v>103</v>
      </c>
      <c r="AC10" s="13"/>
      <c r="AD10" t="s" s="11">
        <v>50</v>
      </c>
      <c r="AE10" s="13"/>
    </row>
    <row r="11" ht="20.05" customHeight="1">
      <c r="A11" t="str" s="9" cm="1">
        <f t="array" ref="A11">"NOP-740"</f>
        <v>NOP-740</v>
      </c>
      <c r="B11" t="s" s="10">
        <v>33</v>
      </c>
      <c r="C11" t="s" s="11">
        <v>105</v>
      </c>
      <c r="D11" t="s" s="11">
        <v>89</v>
      </c>
      <c r="E11" t="s" s="11">
        <v>106</v>
      </c>
      <c r="F11" s="12">
        <v>2987</v>
      </c>
      <c r="G11" t="s" s="11">
        <v>107</v>
      </c>
      <c r="H11" t="s" s="11">
        <v>38</v>
      </c>
      <c r="I11" s="13"/>
      <c r="J11" t="s" s="11">
        <v>39</v>
      </c>
      <c r="K11" s="13"/>
      <c r="L11" t="s" s="11">
        <v>108</v>
      </c>
      <c r="M11" s="13"/>
      <c r="N11" s="13"/>
      <c r="O11" t="s" s="11">
        <v>109</v>
      </c>
      <c r="P11" t="s" s="11">
        <v>110</v>
      </c>
      <c r="Q11" t="s" s="11">
        <v>42</v>
      </c>
      <c r="R11" s="13"/>
      <c r="S11" s="13"/>
      <c r="T11" s="13"/>
      <c r="U11" s="13"/>
      <c r="V11" t="s" s="11">
        <v>43</v>
      </c>
      <c r="W11" t="s" s="11">
        <v>111</v>
      </c>
      <c r="X11" t="s" s="11">
        <v>109</v>
      </c>
      <c r="Y11" t="s" s="11">
        <v>46</v>
      </c>
      <c r="Z11" t="s" s="11">
        <v>112</v>
      </c>
      <c r="AA11" t="s" s="11">
        <v>109</v>
      </c>
      <c r="AB11" t="s" s="11">
        <v>113</v>
      </c>
      <c r="AC11" t="s" s="11">
        <v>114</v>
      </c>
      <c r="AD11" t="s" s="11">
        <v>50</v>
      </c>
      <c r="AE11" s="13"/>
    </row>
    <row r="12" ht="20.05" customHeight="1">
      <c r="A12" t="str" s="9" cm="1">
        <f t="array" ref="A12">"VMZ-419"</f>
        <v>VMZ-419</v>
      </c>
      <c r="B12" t="s" s="10">
        <v>52</v>
      </c>
      <c r="C12" t="s" s="11">
        <v>34</v>
      </c>
      <c r="D12" t="s" s="11">
        <v>116</v>
      </c>
      <c r="E12" t="s" s="11">
        <v>117</v>
      </c>
      <c r="F12" s="12">
        <v>1686</v>
      </c>
      <c r="G12" t="s" s="11">
        <v>118</v>
      </c>
      <c r="H12" t="s" s="11">
        <v>38</v>
      </c>
      <c r="I12" s="13"/>
      <c r="J12" t="s" s="11">
        <v>82</v>
      </c>
      <c r="K12" t="s" s="11">
        <v>83</v>
      </c>
      <c r="L12" t="s" s="11">
        <v>92</v>
      </c>
      <c r="M12" t="s" s="11">
        <v>54</v>
      </c>
      <c r="N12" s="13"/>
      <c r="O12" t="s" s="11">
        <v>119</v>
      </c>
      <c r="P12" t="s" s="11">
        <v>120</v>
      </c>
      <c r="Q12" t="s" s="11">
        <v>42</v>
      </c>
      <c r="R12" s="12">
        <v>160</v>
      </c>
      <c r="S12" s="13"/>
      <c r="T12" s="13"/>
      <c r="U12" s="13"/>
      <c r="V12" t="s" s="11">
        <v>43</v>
      </c>
      <c r="W12" t="s" s="11">
        <v>44</v>
      </c>
      <c r="X12" t="s" s="11">
        <v>121</v>
      </c>
      <c r="Y12" t="s" s="11">
        <v>46</v>
      </c>
      <c r="Z12" t="s" s="11">
        <v>121</v>
      </c>
      <c r="AA12" t="s" s="11">
        <v>122</v>
      </c>
      <c r="AB12" t="s" s="11">
        <v>122</v>
      </c>
      <c r="AC12" t="s" s="11">
        <v>49</v>
      </c>
      <c r="AD12" t="s" s="11">
        <v>50</v>
      </c>
      <c r="AE12" s="13"/>
    </row>
    <row r="13" ht="20.05" customHeight="1">
      <c r="A13" t="str" s="9" cm="1">
        <f t="array" ref="A13">"BRE-103"</f>
        <v>BRE-103</v>
      </c>
      <c r="B13" t="s" s="10">
        <v>33</v>
      </c>
      <c r="C13" t="s" s="11">
        <v>34</v>
      </c>
      <c r="D13" t="s" s="11">
        <v>124</v>
      </c>
      <c r="E13" t="s" s="11">
        <v>125</v>
      </c>
      <c r="F13" s="12">
        <v>1560</v>
      </c>
      <c r="G13" t="s" s="11">
        <v>126</v>
      </c>
      <c r="H13" t="s" s="11">
        <v>38</v>
      </c>
      <c r="I13" s="13"/>
      <c r="J13" t="s" s="11">
        <v>39</v>
      </c>
      <c r="K13" s="13"/>
      <c r="L13" s="13"/>
      <c r="M13" s="13"/>
      <c r="N13" s="13"/>
      <c r="O13" t="s" s="11">
        <v>127</v>
      </c>
      <c r="P13" t="s" s="11">
        <v>128</v>
      </c>
      <c r="Q13" t="s" s="11">
        <v>42</v>
      </c>
      <c r="R13" s="12">
        <v>122</v>
      </c>
      <c r="S13" s="13"/>
      <c r="T13" s="13"/>
      <c r="U13" s="13"/>
      <c r="V13" t="s" s="11">
        <v>43</v>
      </c>
      <c r="W13" t="s" s="11">
        <v>44</v>
      </c>
      <c r="X13" t="s" s="11">
        <v>129</v>
      </c>
      <c r="Y13" t="s" s="11">
        <v>46</v>
      </c>
      <c r="Z13" t="s" s="11">
        <v>129</v>
      </c>
      <c r="AA13" t="s" s="11">
        <v>130</v>
      </c>
      <c r="AB13" t="s" s="11">
        <v>130</v>
      </c>
      <c r="AC13" t="s" s="11">
        <v>49</v>
      </c>
      <c r="AD13" t="s" s="11">
        <v>50</v>
      </c>
      <c r="AE13" s="13"/>
    </row>
    <row r="14" ht="20.05" customHeight="1">
      <c r="A14" t="str" s="9" cm="1">
        <f t="array" ref="A14">"VXA-640"</f>
        <v>VXA-640</v>
      </c>
      <c r="B14" t="s" s="10">
        <v>33</v>
      </c>
      <c r="C14" t="s" s="11">
        <v>34</v>
      </c>
      <c r="D14" t="s" s="11">
        <v>132</v>
      </c>
      <c r="E14" t="s" s="11">
        <v>133</v>
      </c>
      <c r="F14" s="12">
        <v>1995</v>
      </c>
      <c r="G14" t="s" s="11">
        <v>134</v>
      </c>
      <c r="H14" t="s" s="11">
        <v>38</v>
      </c>
      <c r="I14" s="13"/>
      <c r="J14" t="s" s="11">
        <v>39</v>
      </c>
      <c r="K14" s="13"/>
      <c r="L14" s="13"/>
      <c r="M14" s="13"/>
      <c r="N14" s="13"/>
      <c r="O14" t="s" s="11">
        <v>135</v>
      </c>
      <c r="P14" t="s" s="11">
        <v>136</v>
      </c>
      <c r="Q14" t="s" s="11">
        <v>42</v>
      </c>
      <c r="R14" s="12">
        <v>178</v>
      </c>
      <c r="S14" s="13"/>
      <c r="T14" s="13"/>
      <c r="U14" s="13"/>
      <c r="V14" t="s" s="11">
        <v>43</v>
      </c>
      <c r="W14" t="s" s="11">
        <v>44</v>
      </c>
      <c r="X14" t="s" s="11">
        <v>137</v>
      </c>
      <c r="Y14" t="s" s="11">
        <v>46</v>
      </c>
      <c r="Z14" t="s" s="11">
        <v>138</v>
      </c>
      <c r="AA14" t="s" s="11">
        <v>139</v>
      </c>
      <c r="AB14" t="s" s="11">
        <v>139</v>
      </c>
      <c r="AC14" t="s" s="11">
        <v>49</v>
      </c>
      <c r="AD14" t="s" s="11">
        <v>50</v>
      </c>
      <c r="AE14" s="13"/>
    </row>
    <row r="15" ht="20.05" customHeight="1">
      <c r="A15" t="str" s="9" cm="1">
        <f t="array" ref="A15">"ENY-134"</f>
        <v>ENY-134</v>
      </c>
      <c r="B15" t="s" s="10">
        <v>33</v>
      </c>
      <c r="C15" t="s" s="11">
        <v>34</v>
      </c>
      <c r="D15" t="s" s="11">
        <v>141</v>
      </c>
      <c r="E15" t="s" s="11">
        <v>142</v>
      </c>
      <c r="F15" s="12">
        <v>1197</v>
      </c>
      <c r="G15" t="s" s="11">
        <v>143</v>
      </c>
      <c r="H15" t="s" s="11">
        <v>38</v>
      </c>
      <c r="I15" s="13"/>
      <c r="J15" t="s" s="11">
        <v>82</v>
      </c>
      <c r="K15" t="s" s="11">
        <v>83</v>
      </c>
      <c r="L15" t="s" s="11">
        <v>92</v>
      </c>
      <c r="M15" s="13"/>
      <c r="N15" s="13"/>
      <c r="O15" t="s" s="11">
        <v>144</v>
      </c>
      <c r="P15" t="s" s="11">
        <v>145</v>
      </c>
      <c r="Q15" t="s" s="11">
        <v>42</v>
      </c>
      <c r="R15" s="12">
        <v>149</v>
      </c>
      <c r="S15" s="13"/>
      <c r="T15" s="13"/>
      <c r="U15" s="13"/>
      <c r="V15" t="s" s="11">
        <v>146</v>
      </c>
      <c r="W15" t="s" s="11">
        <v>44</v>
      </c>
      <c r="X15" t="s" s="11">
        <v>95</v>
      </c>
      <c r="Y15" t="s" s="11">
        <v>46</v>
      </c>
      <c r="Z15" t="s" s="11">
        <v>95</v>
      </c>
      <c r="AA15" t="s" s="11">
        <v>147</v>
      </c>
      <c r="AB15" t="s" s="11">
        <v>147</v>
      </c>
      <c r="AC15" t="s" s="11">
        <v>49</v>
      </c>
      <c r="AD15" t="s" s="11">
        <v>50</v>
      </c>
      <c r="AE15" s="13"/>
    </row>
    <row r="16" ht="20.05" customHeight="1">
      <c r="A16" t="str" s="9" cm="1">
        <f t="array" ref="A16">"MKH-390"</f>
        <v>MKH-390</v>
      </c>
      <c r="B16" t="s" s="10">
        <v>52</v>
      </c>
      <c r="C16" t="s" s="11">
        <v>34</v>
      </c>
      <c r="D16" t="s" s="11">
        <v>149</v>
      </c>
      <c r="E16" t="s" s="11">
        <v>150</v>
      </c>
      <c r="F16" s="12">
        <v>1968</v>
      </c>
      <c r="G16" t="s" s="11">
        <v>151</v>
      </c>
      <c r="H16" t="s" s="11">
        <v>38</v>
      </c>
      <c r="I16" s="13"/>
      <c r="J16" t="s" s="11">
        <v>82</v>
      </c>
      <c r="K16" t="s" s="11">
        <v>83</v>
      </c>
      <c r="L16" t="s" s="11">
        <v>92</v>
      </c>
      <c r="M16" t="s" s="11">
        <v>100</v>
      </c>
      <c r="N16" s="13"/>
      <c r="O16" t="s" s="11">
        <v>152</v>
      </c>
      <c r="P16" t="s" s="11">
        <v>153</v>
      </c>
      <c r="Q16" t="s" s="11">
        <v>42</v>
      </c>
      <c r="R16" s="12">
        <v>211</v>
      </c>
      <c r="S16" s="13"/>
      <c r="T16" s="13"/>
      <c r="U16" s="13"/>
      <c r="V16" t="s" s="11">
        <v>43</v>
      </c>
      <c r="W16" t="s" s="11">
        <v>44</v>
      </c>
      <c r="X16" t="s" s="11">
        <v>95</v>
      </c>
      <c r="Y16" t="s" s="11">
        <v>46</v>
      </c>
      <c r="Z16" t="s" s="11">
        <v>95</v>
      </c>
      <c r="AA16" t="s" s="11">
        <v>154</v>
      </c>
      <c r="AB16" t="s" s="11">
        <v>154</v>
      </c>
      <c r="AC16" s="13"/>
      <c r="AD16" t="s" s="11">
        <v>50</v>
      </c>
      <c r="AE16" s="13"/>
    </row>
    <row r="17" ht="20.05" customHeight="1">
      <c r="A17" t="str" s="9" cm="1">
        <f t="array" ref="A17">"IJA-707"</f>
        <v>IJA-707</v>
      </c>
      <c r="B17" t="s" s="10">
        <v>33</v>
      </c>
      <c r="C17" t="s" s="11">
        <v>34</v>
      </c>
      <c r="D17" t="s" s="11">
        <v>149</v>
      </c>
      <c r="E17" t="s" s="11">
        <v>156</v>
      </c>
      <c r="F17" s="12">
        <v>1896</v>
      </c>
      <c r="G17" t="s" s="11">
        <v>157</v>
      </c>
      <c r="H17" t="s" s="11">
        <v>38</v>
      </c>
      <c r="I17" s="13"/>
      <c r="J17" t="s" s="11">
        <v>39</v>
      </c>
      <c r="K17" s="13"/>
      <c r="L17" s="13"/>
      <c r="M17" s="13"/>
      <c r="N17" s="13"/>
      <c r="O17" t="s" s="11">
        <v>158</v>
      </c>
      <c r="P17" t="s" s="11">
        <v>159</v>
      </c>
      <c r="Q17" t="s" s="11">
        <v>42</v>
      </c>
      <c r="R17" s="12">
        <v>182</v>
      </c>
      <c r="S17" s="13"/>
      <c r="T17" s="13"/>
      <c r="U17" s="13"/>
      <c r="V17" t="s" s="11">
        <v>43</v>
      </c>
      <c r="W17" t="s" s="11">
        <v>44</v>
      </c>
      <c r="X17" t="s" s="11">
        <v>160</v>
      </c>
      <c r="Y17" t="s" s="11">
        <v>46</v>
      </c>
      <c r="Z17" t="s" s="11">
        <v>161</v>
      </c>
      <c r="AA17" t="s" s="11">
        <v>162</v>
      </c>
      <c r="AB17" t="s" s="11">
        <v>162</v>
      </c>
      <c r="AC17" s="13"/>
      <c r="AD17" t="s" s="11">
        <v>50</v>
      </c>
      <c r="AE17" s="13"/>
    </row>
    <row r="18" ht="20.05" customHeight="1">
      <c r="A18" t="str" s="9" cm="1">
        <f t="array" ref="A18">"YVX-655"</f>
        <v>YVX-655</v>
      </c>
      <c r="B18" t="s" s="10">
        <v>52</v>
      </c>
      <c r="C18" t="s" s="11">
        <v>34</v>
      </c>
      <c r="D18" t="s" s="11">
        <v>164</v>
      </c>
      <c r="E18" t="s" s="11">
        <v>165</v>
      </c>
      <c r="F18" s="12">
        <v>1968</v>
      </c>
      <c r="G18" t="s" s="11">
        <v>166</v>
      </c>
      <c r="H18" t="s" s="11">
        <v>38</v>
      </c>
      <c r="I18" s="13"/>
      <c r="J18" t="s" s="11">
        <v>82</v>
      </c>
      <c r="K18" t="s" s="11">
        <v>83</v>
      </c>
      <c r="L18" t="s" s="11">
        <v>92</v>
      </c>
      <c r="M18" t="s" s="11">
        <v>54</v>
      </c>
      <c r="N18" s="13"/>
      <c r="O18" t="s" s="11">
        <v>167</v>
      </c>
      <c r="P18" t="s" s="11">
        <v>168</v>
      </c>
      <c r="Q18" t="s" s="11">
        <v>42</v>
      </c>
      <c r="R18" s="12">
        <v>152</v>
      </c>
      <c r="S18" s="13"/>
      <c r="T18" s="13"/>
      <c r="U18" s="13"/>
      <c r="V18" t="s" s="11">
        <v>43</v>
      </c>
      <c r="W18" t="s" s="11">
        <v>44</v>
      </c>
      <c r="X18" t="s" s="11">
        <v>95</v>
      </c>
      <c r="Y18" t="s" s="11">
        <v>46</v>
      </c>
      <c r="Z18" t="s" s="11">
        <v>95</v>
      </c>
      <c r="AA18" t="s" s="11">
        <v>169</v>
      </c>
      <c r="AB18" t="s" s="11">
        <v>169</v>
      </c>
      <c r="AC18" t="s" s="11">
        <v>49</v>
      </c>
      <c r="AD18" t="s" s="11">
        <v>50</v>
      </c>
      <c r="AE18" s="13"/>
    </row>
    <row r="19" ht="20.05" customHeight="1">
      <c r="A19" t="str" s="9" cm="1">
        <f t="array" ref="A19">"XVM-392"</f>
        <v>XVM-392</v>
      </c>
      <c r="B19" t="s" s="10">
        <v>52</v>
      </c>
      <c r="C19" t="s" s="11">
        <v>34</v>
      </c>
      <c r="D19" t="s" s="11">
        <v>164</v>
      </c>
      <c r="E19" t="s" s="11">
        <v>165</v>
      </c>
      <c r="F19" s="12">
        <v>1968</v>
      </c>
      <c r="G19" t="s" s="11">
        <v>171</v>
      </c>
      <c r="H19" t="s" s="11">
        <v>38</v>
      </c>
      <c r="I19" s="13"/>
      <c r="J19" t="s" s="11">
        <v>82</v>
      </c>
      <c r="K19" t="s" s="11">
        <v>83</v>
      </c>
      <c r="L19" t="s" s="11">
        <v>92</v>
      </c>
      <c r="M19" t="s" s="11">
        <v>54</v>
      </c>
      <c r="N19" s="13"/>
      <c r="O19" t="s" s="11">
        <v>172</v>
      </c>
      <c r="P19" t="s" s="11">
        <v>173</v>
      </c>
      <c r="Q19" t="s" s="11">
        <v>42</v>
      </c>
      <c r="R19" s="12">
        <v>152</v>
      </c>
      <c r="S19" s="13"/>
      <c r="T19" s="13"/>
      <c r="U19" s="13"/>
      <c r="V19" t="s" s="11">
        <v>43</v>
      </c>
      <c r="W19" t="s" s="11">
        <v>44</v>
      </c>
      <c r="X19" t="s" s="11">
        <v>95</v>
      </c>
      <c r="Y19" t="s" s="11">
        <v>46</v>
      </c>
      <c r="Z19" t="s" s="11">
        <v>95</v>
      </c>
      <c r="AA19" t="s" s="11">
        <v>169</v>
      </c>
      <c r="AB19" t="s" s="11">
        <v>169</v>
      </c>
      <c r="AC19" t="s" s="11">
        <v>49</v>
      </c>
      <c r="AD19" t="s" s="11">
        <v>50</v>
      </c>
      <c r="AE19" s="13"/>
    </row>
    <row r="20" ht="20.05" customHeight="1">
      <c r="A20" t="str" s="9" cm="1">
        <f t="array" ref="A20">"ISL-829"</f>
        <v>ISL-829</v>
      </c>
      <c r="B20" t="s" s="10">
        <v>33</v>
      </c>
      <c r="C20" t="s" s="11">
        <v>34</v>
      </c>
      <c r="D20" t="s" s="11">
        <v>164</v>
      </c>
      <c r="E20" t="s" s="11">
        <v>165</v>
      </c>
      <c r="F20" s="12">
        <v>1968</v>
      </c>
      <c r="G20" t="s" s="11">
        <v>175</v>
      </c>
      <c r="H20" t="s" s="11">
        <v>38</v>
      </c>
      <c r="I20" s="13"/>
      <c r="J20" t="s" s="11">
        <v>39</v>
      </c>
      <c r="K20" s="13"/>
      <c r="L20" s="13"/>
      <c r="M20" t="s" s="11">
        <v>69</v>
      </c>
      <c r="N20" s="13"/>
      <c r="O20" t="s" s="11">
        <v>176</v>
      </c>
      <c r="P20" t="s" s="11">
        <v>177</v>
      </c>
      <c r="Q20" t="s" s="11">
        <v>42</v>
      </c>
      <c r="R20" s="12">
        <v>174</v>
      </c>
      <c r="S20" s="13"/>
      <c r="T20" s="13"/>
      <c r="U20" s="13"/>
      <c r="V20" t="s" s="11">
        <v>43</v>
      </c>
      <c r="W20" t="s" s="11">
        <v>44</v>
      </c>
      <c r="X20" t="s" s="11">
        <v>178</v>
      </c>
      <c r="Y20" t="s" s="11">
        <v>46</v>
      </c>
      <c r="Z20" t="s" s="11">
        <v>178</v>
      </c>
      <c r="AA20" t="s" s="11">
        <v>178</v>
      </c>
      <c r="AB20" t="s" s="11">
        <v>179</v>
      </c>
      <c r="AC20" t="s" s="11">
        <v>49</v>
      </c>
      <c r="AD20" t="s" s="11">
        <v>50</v>
      </c>
      <c r="AE20" s="13"/>
    </row>
    <row r="21" ht="20.05" customHeight="1">
      <c r="A21" t="str" s="9" cm="1">
        <f t="array" ref="A21">"CIL-479"</f>
        <v>CIL-479</v>
      </c>
      <c r="B21" t="s" s="10">
        <v>33</v>
      </c>
      <c r="C21" t="s" s="11">
        <v>34</v>
      </c>
      <c r="D21" t="s" s="11">
        <v>181</v>
      </c>
      <c r="E21" t="s" s="11">
        <v>182</v>
      </c>
      <c r="F21" s="12">
        <v>1461</v>
      </c>
      <c r="G21" t="s" s="11">
        <v>183</v>
      </c>
      <c r="H21" t="s" s="11">
        <v>184</v>
      </c>
      <c r="I21" s="13"/>
      <c r="J21" t="s" s="11">
        <v>39</v>
      </c>
      <c r="K21" s="13"/>
      <c r="L21" s="13"/>
      <c r="M21" t="s" s="11">
        <v>185</v>
      </c>
      <c r="N21" s="13"/>
      <c r="O21" t="s" s="11">
        <v>186</v>
      </c>
      <c r="P21" t="s" s="11">
        <v>187</v>
      </c>
      <c r="Q21" t="s" s="11">
        <v>42</v>
      </c>
      <c r="R21" s="12">
        <v>145</v>
      </c>
      <c r="S21" s="13"/>
      <c r="T21" s="13"/>
      <c r="U21" s="13"/>
      <c r="V21" t="s" s="11">
        <v>43</v>
      </c>
      <c r="W21" t="s" s="11">
        <v>44</v>
      </c>
      <c r="X21" t="s" s="11">
        <v>188</v>
      </c>
      <c r="Y21" t="s" s="11">
        <v>46</v>
      </c>
      <c r="Z21" t="s" s="11">
        <v>189</v>
      </c>
      <c r="AA21" t="s" s="11">
        <v>190</v>
      </c>
      <c r="AB21" t="s" s="11">
        <v>190</v>
      </c>
      <c r="AC21" t="s" s="11">
        <v>49</v>
      </c>
      <c r="AD21" t="s" s="11">
        <v>50</v>
      </c>
      <c r="AE21" s="13"/>
    </row>
    <row r="22" ht="20.05" customHeight="1">
      <c r="A22" t="str" s="9" cm="1">
        <f t="array" ref="A22">"BRX-455"</f>
        <v>BRX-455</v>
      </c>
      <c r="B22" t="s" s="10">
        <v>33</v>
      </c>
      <c r="C22" t="s" s="11">
        <v>34</v>
      </c>
      <c r="D22" t="s" s="11">
        <v>192</v>
      </c>
      <c r="E22" t="s" s="11">
        <v>193</v>
      </c>
      <c r="F22" s="12">
        <v>1499</v>
      </c>
      <c r="G22" t="s" s="11">
        <v>194</v>
      </c>
      <c r="H22" t="s" s="11">
        <v>184</v>
      </c>
      <c r="I22" s="13"/>
      <c r="J22" t="s" s="11">
        <v>39</v>
      </c>
      <c r="K22" s="13"/>
      <c r="L22" s="13"/>
      <c r="M22" s="13"/>
      <c r="N22" s="13"/>
      <c r="O22" t="s" s="11">
        <v>195</v>
      </c>
      <c r="P22" t="s" s="11">
        <v>196</v>
      </c>
      <c r="Q22" t="s" s="11">
        <v>42</v>
      </c>
      <c r="R22" s="12">
        <v>103</v>
      </c>
      <c r="S22" s="13"/>
      <c r="T22" s="13"/>
      <c r="U22" s="13"/>
      <c r="V22" t="s" s="11">
        <v>43</v>
      </c>
      <c r="W22" t="s" s="11">
        <v>44</v>
      </c>
      <c r="X22" t="s" s="11">
        <v>197</v>
      </c>
      <c r="Y22" t="s" s="11">
        <v>46</v>
      </c>
      <c r="Z22" t="s" s="11">
        <v>198</v>
      </c>
      <c r="AA22" t="s" s="11">
        <v>199</v>
      </c>
      <c r="AB22" t="s" s="11">
        <v>199</v>
      </c>
      <c r="AC22" t="s" s="11">
        <v>49</v>
      </c>
      <c r="AD22" t="s" s="11">
        <v>50</v>
      </c>
      <c r="AE22" s="13"/>
    </row>
    <row r="23" ht="20.05" customHeight="1">
      <c r="A23" t="str" s="9" cm="1">
        <f t="array" ref="A23">"VXS-803"</f>
        <v>VXS-803</v>
      </c>
      <c r="B23" t="s" s="10">
        <v>33</v>
      </c>
      <c r="C23" t="s" s="11">
        <v>34</v>
      </c>
      <c r="D23" t="s" s="11">
        <v>192</v>
      </c>
      <c r="E23" t="s" s="11">
        <v>193</v>
      </c>
      <c r="F23" s="12">
        <v>1560</v>
      </c>
      <c r="G23" t="s" s="11">
        <v>201</v>
      </c>
      <c r="H23" t="s" s="11">
        <v>184</v>
      </c>
      <c r="I23" s="13"/>
      <c r="J23" t="s" s="11">
        <v>39</v>
      </c>
      <c r="K23" s="13"/>
      <c r="L23" s="13"/>
      <c r="M23" s="13"/>
      <c r="N23" s="13"/>
      <c r="O23" t="s" s="11">
        <v>202</v>
      </c>
      <c r="P23" t="s" s="11">
        <v>203</v>
      </c>
      <c r="Q23" t="s" s="11">
        <v>42</v>
      </c>
      <c r="R23" s="12">
        <v>100</v>
      </c>
      <c r="S23" s="13"/>
      <c r="T23" s="13"/>
      <c r="U23" s="13"/>
      <c r="V23" t="s" s="11">
        <v>43</v>
      </c>
      <c r="W23" t="s" s="11">
        <v>44</v>
      </c>
      <c r="X23" t="s" s="11">
        <v>204</v>
      </c>
      <c r="Y23" t="s" s="11">
        <v>46</v>
      </c>
      <c r="Z23" t="s" s="11">
        <v>198</v>
      </c>
      <c r="AA23" t="s" s="11">
        <v>205</v>
      </c>
      <c r="AB23" t="s" s="11">
        <v>205</v>
      </c>
      <c r="AC23" s="13"/>
      <c r="AD23" t="s" s="11">
        <v>50</v>
      </c>
      <c r="AE23" s="13"/>
    </row>
    <row r="24" ht="20.05" customHeight="1">
      <c r="A24" t="str" s="9" cm="1">
        <f t="array" ref="A24">"ZKM-222"</f>
        <v>ZKM-222</v>
      </c>
      <c r="B24" t="s" s="10">
        <v>33</v>
      </c>
      <c r="C24" t="s" s="11">
        <v>34</v>
      </c>
      <c r="D24" t="s" s="11">
        <v>192</v>
      </c>
      <c r="E24" t="s" s="11">
        <v>207</v>
      </c>
      <c r="F24" s="12">
        <v>1560</v>
      </c>
      <c r="G24" t="s" s="11">
        <v>208</v>
      </c>
      <c r="H24" t="s" s="11">
        <v>184</v>
      </c>
      <c r="I24" s="13"/>
      <c r="J24" t="s" s="11">
        <v>39</v>
      </c>
      <c r="K24" s="13"/>
      <c r="L24" s="13"/>
      <c r="M24" s="13"/>
      <c r="N24" s="13"/>
      <c r="O24" t="s" s="11">
        <v>72</v>
      </c>
      <c r="P24" t="s" s="11">
        <v>209</v>
      </c>
      <c r="Q24" t="s" s="11">
        <v>42</v>
      </c>
      <c r="R24" s="12">
        <v>100</v>
      </c>
      <c r="S24" s="13"/>
      <c r="T24" s="13"/>
      <c r="U24" s="13"/>
      <c r="V24" t="s" s="11">
        <v>43</v>
      </c>
      <c r="W24" t="s" s="11">
        <v>44</v>
      </c>
      <c r="X24" t="s" s="11">
        <v>210</v>
      </c>
      <c r="Y24" t="s" s="11">
        <v>46</v>
      </c>
      <c r="Z24" t="s" s="11">
        <v>198</v>
      </c>
      <c r="AA24" t="s" s="11">
        <v>211</v>
      </c>
      <c r="AB24" t="s" s="11">
        <v>211</v>
      </c>
      <c r="AC24" t="s" s="11">
        <v>49</v>
      </c>
      <c r="AD24" t="s" s="11">
        <v>50</v>
      </c>
      <c r="AE24" s="13"/>
    </row>
    <row r="25" ht="20.05" customHeight="1">
      <c r="A25" t="str" s="9" cm="1">
        <f t="array" ref="A25">"SNK-471"</f>
        <v>SNK-471</v>
      </c>
      <c r="B25" t="s" s="10">
        <v>33</v>
      </c>
      <c r="C25" t="s" s="11">
        <v>34</v>
      </c>
      <c r="D25" t="s" s="11">
        <v>192</v>
      </c>
      <c r="E25" t="s" s="11">
        <v>207</v>
      </c>
      <c r="F25" s="12">
        <v>1499</v>
      </c>
      <c r="G25" t="s" s="11">
        <v>213</v>
      </c>
      <c r="H25" t="s" s="11">
        <v>184</v>
      </c>
      <c r="I25" s="13"/>
      <c r="J25" t="s" s="11">
        <v>39</v>
      </c>
      <c r="K25" s="13"/>
      <c r="L25" s="13"/>
      <c r="M25" s="13"/>
      <c r="N25" s="13"/>
      <c r="O25" t="s" s="11">
        <v>214</v>
      </c>
      <c r="P25" t="s" s="11">
        <v>215</v>
      </c>
      <c r="Q25" t="s" s="11">
        <v>42</v>
      </c>
      <c r="R25" s="12">
        <v>103</v>
      </c>
      <c r="S25" s="13"/>
      <c r="T25" s="13"/>
      <c r="U25" s="13"/>
      <c r="V25" t="s" s="11">
        <v>43</v>
      </c>
      <c r="W25" t="s" s="11">
        <v>44</v>
      </c>
      <c r="X25" t="s" s="11">
        <v>216</v>
      </c>
      <c r="Y25" t="s" s="11">
        <v>46</v>
      </c>
      <c r="Z25" t="s" s="11">
        <v>198</v>
      </c>
      <c r="AA25" t="s" s="11">
        <v>217</v>
      </c>
      <c r="AB25" t="s" s="11">
        <v>217</v>
      </c>
      <c r="AC25" s="13"/>
      <c r="AD25" t="s" s="11">
        <v>50</v>
      </c>
      <c r="AE25" s="13"/>
    </row>
    <row r="26" ht="20.05" customHeight="1">
      <c r="A26" t="str" s="9" cm="1">
        <f t="array" ref="A26">"NKB-862"</f>
        <v>NKB-862</v>
      </c>
      <c r="B26" t="s" s="10">
        <v>33</v>
      </c>
      <c r="C26" t="s" s="11">
        <v>34</v>
      </c>
      <c r="D26" t="s" s="11">
        <v>192</v>
      </c>
      <c r="E26" t="s" s="11">
        <v>207</v>
      </c>
      <c r="F26" s="12">
        <v>1560</v>
      </c>
      <c r="G26" t="s" s="11">
        <v>219</v>
      </c>
      <c r="H26" t="s" s="11">
        <v>184</v>
      </c>
      <c r="I26" s="13"/>
      <c r="J26" t="s" s="11">
        <v>39</v>
      </c>
      <c r="K26" s="13"/>
      <c r="L26" s="13"/>
      <c r="M26" s="13"/>
      <c r="N26" s="13"/>
      <c r="O26" t="s" s="11">
        <v>220</v>
      </c>
      <c r="P26" t="s" s="11">
        <v>221</v>
      </c>
      <c r="Q26" t="s" s="11">
        <v>42</v>
      </c>
      <c r="R26" s="12">
        <v>100</v>
      </c>
      <c r="S26" s="13"/>
      <c r="T26" s="13"/>
      <c r="U26" s="13"/>
      <c r="V26" t="s" s="11">
        <v>43</v>
      </c>
      <c r="W26" t="s" s="11">
        <v>44</v>
      </c>
      <c r="X26" t="s" s="11">
        <v>222</v>
      </c>
      <c r="Y26" t="s" s="11">
        <v>46</v>
      </c>
      <c r="Z26" t="s" s="11">
        <v>198</v>
      </c>
      <c r="AA26" t="s" s="11">
        <v>223</v>
      </c>
      <c r="AB26" t="s" s="11">
        <v>223</v>
      </c>
      <c r="AC26" t="s" s="11">
        <v>49</v>
      </c>
      <c r="AD26" t="s" s="11">
        <v>50</v>
      </c>
      <c r="AE26" s="13"/>
    </row>
    <row r="27" ht="20.05" customHeight="1">
      <c r="A27" t="str" s="9" cm="1">
        <f t="array" ref="A27">"MNE-571"</f>
        <v>MNE-571</v>
      </c>
      <c r="B27" t="s" s="10">
        <v>33</v>
      </c>
      <c r="C27" t="s" s="11">
        <v>34</v>
      </c>
      <c r="D27" t="s" s="11">
        <v>192</v>
      </c>
      <c r="E27" t="s" s="11">
        <v>207</v>
      </c>
      <c r="F27" s="12">
        <v>1499</v>
      </c>
      <c r="G27" t="s" s="11">
        <v>225</v>
      </c>
      <c r="H27" t="s" s="11">
        <v>184</v>
      </c>
      <c r="I27" s="13"/>
      <c r="J27" t="s" s="11">
        <v>39</v>
      </c>
      <c r="K27" s="13"/>
      <c r="L27" s="13"/>
      <c r="M27" s="13"/>
      <c r="N27" s="13"/>
      <c r="O27" t="s" s="11">
        <v>226</v>
      </c>
      <c r="P27" t="s" s="11">
        <v>227</v>
      </c>
      <c r="Q27" t="s" s="11">
        <v>42</v>
      </c>
      <c r="R27" s="12">
        <v>99</v>
      </c>
      <c r="S27" s="13"/>
      <c r="T27" s="13"/>
      <c r="U27" s="13"/>
      <c r="V27" t="s" s="11">
        <v>43</v>
      </c>
      <c r="W27" t="s" s="11">
        <v>44</v>
      </c>
      <c r="X27" t="s" s="11">
        <v>228</v>
      </c>
      <c r="Y27" t="s" s="11">
        <v>46</v>
      </c>
      <c r="Z27" t="s" s="11">
        <v>198</v>
      </c>
      <c r="AA27" t="s" s="11">
        <v>229</v>
      </c>
      <c r="AB27" t="s" s="11">
        <v>229</v>
      </c>
      <c r="AC27" t="s" s="11">
        <v>114</v>
      </c>
      <c r="AD27" t="s" s="11">
        <v>50</v>
      </c>
      <c r="AE27" s="13"/>
    </row>
    <row r="28" ht="20.05" customHeight="1">
      <c r="A28" t="str" s="9" cm="1">
        <f t="array" ref="A28">"ZLV-281"</f>
        <v>ZLV-281</v>
      </c>
      <c r="B28" t="s" s="10">
        <v>33</v>
      </c>
      <c r="C28" t="s" s="11">
        <v>34</v>
      </c>
      <c r="D28" t="s" s="11">
        <v>192</v>
      </c>
      <c r="E28" t="s" s="11">
        <v>207</v>
      </c>
      <c r="F28" s="12">
        <v>1499</v>
      </c>
      <c r="G28" t="s" s="11">
        <v>231</v>
      </c>
      <c r="H28" t="s" s="11">
        <v>184</v>
      </c>
      <c r="I28" s="13"/>
      <c r="J28" t="s" s="11">
        <v>39</v>
      </c>
      <c r="K28" s="13"/>
      <c r="L28" s="13"/>
      <c r="M28" s="13"/>
      <c r="N28" s="13"/>
      <c r="O28" t="s" s="11">
        <v>232</v>
      </c>
      <c r="P28" t="s" s="11">
        <v>233</v>
      </c>
      <c r="Q28" t="s" s="11">
        <v>42</v>
      </c>
      <c r="R28" s="12">
        <v>99</v>
      </c>
      <c r="S28" s="13"/>
      <c r="T28" s="13"/>
      <c r="U28" s="13"/>
      <c r="V28" t="s" s="11">
        <v>43</v>
      </c>
      <c r="W28" t="s" s="11">
        <v>44</v>
      </c>
      <c r="X28" t="s" s="11">
        <v>234</v>
      </c>
      <c r="Y28" t="s" s="11">
        <v>46</v>
      </c>
      <c r="Z28" t="s" s="11">
        <v>198</v>
      </c>
      <c r="AA28" t="s" s="11">
        <v>235</v>
      </c>
      <c r="AB28" t="s" s="11">
        <v>235</v>
      </c>
      <c r="AC28" t="s" s="11">
        <v>114</v>
      </c>
      <c r="AD28" t="s" s="11">
        <v>50</v>
      </c>
      <c r="AE28" s="13"/>
    </row>
    <row r="29" ht="20.05" customHeight="1">
      <c r="A29" t="str" s="9" cm="1">
        <f t="array" ref="A29">"CLJ-338"</f>
        <v>CLJ-338</v>
      </c>
      <c r="B29" t="s" s="10">
        <v>33</v>
      </c>
      <c r="C29" t="s" s="11">
        <v>34</v>
      </c>
      <c r="D29" t="s" s="11">
        <v>192</v>
      </c>
      <c r="E29" t="s" s="11">
        <v>207</v>
      </c>
      <c r="F29" s="12">
        <v>1499</v>
      </c>
      <c r="G29" t="s" s="11">
        <v>237</v>
      </c>
      <c r="H29" t="s" s="11">
        <v>184</v>
      </c>
      <c r="I29" s="13"/>
      <c r="J29" t="s" s="11">
        <v>39</v>
      </c>
      <c r="K29" s="13"/>
      <c r="L29" s="13"/>
      <c r="M29" s="13"/>
      <c r="N29" s="13"/>
      <c r="O29" t="s" s="11">
        <v>238</v>
      </c>
      <c r="P29" t="s" s="11">
        <v>239</v>
      </c>
      <c r="Q29" t="s" s="11">
        <v>42</v>
      </c>
      <c r="R29" s="12">
        <v>99</v>
      </c>
      <c r="S29" s="13"/>
      <c r="T29" s="13"/>
      <c r="U29" s="13"/>
      <c r="V29" t="s" s="11">
        <v>43</v>
      </c>
      <c r="W29" t="s" s="11">
        <v>44</v>
      </c>
      <c r="X29" t="s" s="11">
        <v>240</v>
      </c>
      <c r="Y29" t="s" s="11">
        <v>46</v>
      </c>
      <c r="Z29" t="s" s="11">
        <v>198</v>
      </c>
      <c r="AA29" t="s" s="11">
        <v>241</v>
      </c>
      <c r="AB29" t="s" s="11">
        <v>241</v>
      </c>
      <c r="AC29" t="s" s="11">
        <v>114</v>
      </c>
      <c r="AD29" t="s" s="11">
        <v>50</v>
      </c>
      <c r="AE29" s="13"/>
    </row>
    <row r="30" ht="20.05" customHeight="1">
      <c r="A30" t="str" s="9" cm="1">
        <f t="array" ref="A30">"FNK-154"</f>
        <v>FNK-154</v>
      </c>
      <c r="B30" t="s" s="10">
        <v>33</v>
      </c>
      <c r="C30" t="s" s="11">
        <v>34</v>
      </c>
      <c r="D30" t="s" s="11">
        <v>192</v>
      </c>
      <c r="E30" t="s" s="11">
        <v>207</v>
      </c>
      <c r="F30" s="12">
        <v>1499</v>
      </c>
      <c r="G30" t="s" s="11">
        <v>243</v>
      </c>
      <c r="H30" t="s" s="11">
        <v>184</v>
      </c>
      <c r="I30" s="13"/>
      <c r="J30" t="s" s="11">
        <v>39</v>
      </c>
      <c r="K30" s="13"/>
      <c r="L30" s="13"/>
      <c r="M30" s="13"/>
      <c r="N30" s="13"/>
      <c r="O30" t="s" s="11">
        <v>244</v>
      </c>
      <c r="P30" t="s" s="11">
        <v>245</v>
      </c>
      <c r="Q30" t="s" s="11">
        <v>42</v>
      </c>
      <c r="R30" s="12">
        <v>112</v>
      </c>
      <c r="S30" s="13"/>
      <c r="T30" s="12">
        <v>140</v>
      </c>
      <c r="U30" s="13"/>
      <c r="V30" t="s" s="11">
        <v>43</v>
      </c>
      <c r="W30" t="s" s="11">
        <v>44</v>
      </c>
      <c r="X30" t="s" s="11">
        <v>246</v>
      </c>
      <c r="Y30" t="s" s="11">
        <v>46</v>
      </c>
      <c r="Z30" t="s" s="11">
        <v>198</v>
      </c>
      <c r="AA30" t="s" s="11">
        <v>247</v>
      </c>
      <c r="AB30" t="s" s="11">
        <v>247</v>
      </c>
      <c r="AC30" t="s" s="11">
        <v>114</v>
      </c>
      <c r="AD30" t="s" s="11">
        <v>50</v>
      </c>
      <c r="AE30" s="13"/>
    </row>
    <row r="31" ht="20.05" customHeight="1">
      <c r="A31" t="str" s="9" cm="1">
        <f t="array" ref="A31">"KTK-434"</f>
        <v>KTK-434</v>
      </c>
      <c r="B31" t="s" s="10">
        <v>33</v>
      </c>
      <c r="C31" t="s" s="11">
        <v>34</v>
      </c>
      <c r="D31" t="s" s="11">
        <v>192</v>
      </c>
      <c r="E31" t="s" s="11">
        <v>207</v>
      </c>
      <c r="F31" s="12">
        <v>1499</v>
      </c>
      <c r="G31" t="s" s="11">
        <v>249</v>
      </c>
      <c r="H31" t="s" s="11">
        <v>184</v>
      </c>
      <c r="I31" s="13"/>
      <c r="J31" t="s" s="11">
        <v>39</v>
      </c>
      <c r="K31" s="13"/>
      <c r="L31" s="13"/>
      <c r="M31" s="13"/>
      <c r="N31" s="13"/>
      <c r="O31" t="s" s="11">
        <v>226</v>
      </c>
      <c r="P31" t="s" s="11">
        <v>227</v>
      </c>
      <c r="Q31" t="s" s="11">
        <v>42</v>
      </c>
      <c r="R31" s="12">
        <v>112</v>
      </c>
      <c r="S31" s="13"/>
      <c r="T31" s="12">
        <v>140</v>
      </c>
      <c r="U31" s="13"/>
      <c r="V31" t="s" s="11">
        <v>43</v>
      </c>
      <c r="W31" t="s" s="11">
        <v>44</v>
      </c>
      <c r="X31" t="s" s="11">
        <v>250</v>
      </c>
      <c r="Y31" t="s" s="11">
        <v>46</v>
      </c>
      <c r="Z31" t="s" s="11">
        <v>198</v>
      </c>
      <c r="AA31" t="s" s="11">
        <v>250</v>
      </c>
      <c r="AB31" t="s" s="11">
        <v>250</v>
      </c>
      <c r="AC31" t="s" s="11">
        <v>114</v>
      </c>
      <c r="AD31" t="s" s="11">
        <v>50</v>
      </c>
      <c r="AE31" s="13"/>
    </row>
    <row r="32" ht="20.05" customHeight="1">
      <c r="A32" t="str" s="9" cm="1">
        <f t="array" ref="A32">"FNV-148"</f>
        <v>FNV-148</v>
      </c>
      <c r="B32" t="s" s="10">
        <v>52</v>
      </c>
      <c r="C32" t="s" s="11">
        <v>34</v>
      </c>
      <c r="D32" t="s" s="11">
        <v>192</v>
      </c>
      <c r="E32" t="s" s="11">
        <v>207</v>
      </c>
      <c r="F32" s="12">
        <v>1499</v>
      </c>
      <c r="G32" t="s" s="11">
        <v>252</v>
      </c>
      <c r="H32" t="s" s="11">
        <v>184</v>
      </c>
      <c r="I32" s="13"/>
      <c r="J32" t="s" s="11">
        <v>39</v>
      </c>
      <c r="K32" s="13"/>
      <c r="L32" s="13"/>
      <c r="M32" t="s" s="11">
        <v>253</v>
      </c>
      <c r="N32" s="13"/>
      <c r="O32" t="s" s="11">
        <v>254</v>
      </c>
      <c r="P32" t="s" s="11">
        <v>255</v>
      </c>
      <c r="Q32" t="s" s="11">
        <v>42</v>
      </c>
      <c r="R32" s="12">
        <v>112</v>
      </c>
      <c r="S32" s="13"/>
      <c r="T32" s="12">
        <v>140</v>
      </c>
      <c r="U32" s="13"/>
      <c r="V32" t="s" s="11">
        <v>43</v>
      </c>
      <c r="W32" t="s" s="11">
        <v>44</v>
      </c>
      <c r="X32" t="s" s="11">
        <v>256</v>
      </c>
      <c r="Y32" t="s" s="11">
        <v>46</v>
      </c>
      <c r="Z32" t="s" s="11">
        <v>198</v>
      </c>
      <c r="AA32" t="s" s="11">
        <v>256</v>
      </c>
      <c r="AB32" t="s" s="11">
        <v>256</v>
      </c>
      <c r="AC32" t="s" s="11">
        <v>114</v>
      </c>
      <c r="AD32" t="s" s="11">
        <v>50</v>
      </c>
      <c r="AE32" s="13"/>
    </row>
    <row r="33" ht="20.05" customHeight="1">
      <c r="A33" t="str" s="9" cm="1">
        <f t="array" ref="A33">"CNU-762"</f>
        <v>CNU-762</v>
      </c>
      <c r="B33" t="s" s="10">
        <v>33</v>
      </c>
      <c r="C33" t="s" s="11">
        <v>34</v>
      </c>
      <c r="D33" t="s" s="11">
        <v>192</v>
      </c>
      <c r="E33" t="s" s="11">
        <v>207</v>
      </c>
      <c r="F33" s="12">
        <v>1499</v>
      </c>
      <c r="G33" t="s" s="11">
        <v>258</v>
      </c>
      <c r="H33" t="s" s="11">
        <v>184</v>
      </c>
      <c r="I33" s="13"/>
      <c r="J33" t="s" s="11">
        <v>39</v>
      </c>
      <c r="K33" s="13"/>
      <c r="L33" s="13"/>
      <c r="M33" s="13"/>
      <c r="N33" s="13"/>
      <c r="O33" t="s" s="11">
        <v>259</v>
      </c>
      <c r="P33" t="s" s="11">
        <v>260</v>
      </c>
      <c r="Q33" t="s" s="11">
        <v>42</v>
      </c>
      <c r="R33" s="12">
        <v>112</v>
      </c>
      <c r="S33" s="13"/>
      <c r="T33" s="12">
        <v>140</v>
      </c>
      <c r="U33" s="13"/>
      <c r="V33" t="s" s="11">
        <v>43</v>
      </c>
      <c r="W33" t="s" s="11">
        <v>44</v>
      </c>
      <c r="X33" t="s" s="11">
        <v>261</v>
      </c>
      <c r="Y33" t="s" s="11">
        <v>46</v>
      </c>
      <c r="Z33" t="s" s="11">
        <v>198</v>
      </c>
      <c r="AA33" t="s" s="11">
        <v>262</v>
      </c>
      <c r="AB33" t="s" s="11">
        <v>262</v>
      </c>
      <c r="AC33" t="s" s="11">
        <v>114</v>
      </c>
      <c r="AD33" t="s" s="11">
        <v>50</v>
      </c>
      <c r="AE33" s="13"/>
    </row>
    <row r="34" ht="20.05" customHeight="1">
      <c r="A34" t="str" s="9" cm="1">
        <f t="array" ref="A34">"GNV-194"</f>
        <v>GNV-194</v>
      </c>
      <c r="B34" t="s" s="10">
        <v>33</v>
      </c>
      <c r="C34" t="s" s="11">
        <v>34</v>
      </c>
      <c r="D34" t="s" s="11">
        <v>192</v>
      </c>
      <c r="E34" t="s" s="11">
        <v>207</v>
      </c>
      <c r="F34" s="12">
        <v>1499</v>
      </c>
      <c r="G34" t="s" s="11">
        <v>264</v>
      </c>
      <c r="H34" t="s" s="11">
        <v>184</v>
      </c>
      <c r="I34" s="13"/>
      <c r="J34" t="s" s="11">
        <v>39</v>
      </c>
      <c r="K34" s="13"/>
      <c r="L34" s="13"/>
      <c r="M34" s="13"/>
      <c r="N34" s="13"/>
      <c r="O34" t="s" s="11">
        <v>265</v>
      </c>
      <c r="P34" t="s" s="11">
        <v>266</v>
      </c>
      <c r="Q34" t="s" s="11">
        <v>42</v>
      </c>
      <c r="R34" s="12">
        <v>112</v>
      </c>
      <c r="S34" s="13"/>
      <c r="T34" s="12">
        <v>140</v>
      </c>
      <c r="U34" s="13"/>
      <c r="V34" t="s" s="11">
        <v>43</v>
      </c>
      <c r="W34" t="s" s="11">
        <v>44</v>
      </c>
      <c r="X34" t="s" s="11">
        <v>267</v>
      </c>
      <c r="Y34" t="s" s="11">
        <v>46</v>
      </c>
      <c r="Z34" t="s" s="11">
        <v>198</v>
      </c>
      <c r="AA34" t="s" s="11">
        <v>267</v>
      </c>
      <c r="AB34" t="s" s="11">
        <v>267</v>
      </c>
      <c r="AC34" s="13"/>
      <c r="AD34" t="s" s="11">
        <v>50</v>
      </c>
      <c r="AE34" s="13"/>
    </row>
    <row r="35" ht="20.05" customHeight="1">
      <c r="A35" t="str" s="9" cm="1">
        <f t="array" ref="A35">"OXV-397"</f>
        <v>OXV-397</v>
      </c>
      <c r="B35" t="s" s="10">
        <v>33</v>
      </c>
      <c r="C35" t="s" s="11">
        <v>34</v>
      </c>
      <c r="D35" t="s" s="11">
        <v>192</v>
      </c>
      <c r="E35" t="s" s="11">
        <v>207</v>
      </c>
      <c r="F35" s="12">
        <v>1499</v>
      </c>
      <c r="G35" t="s" s="11">
        <v>269</v>
      </c>
      <c r="H35" t="s" s="11">
        <v>184</v>
      </c>
      <c r="I35" s="13"/>
      <c r="J35" t="s" s="11">
        <v>39</v>
      </c>
      <c r="K35" s="13"/>
      <c r="L35" s="13"/>
      <c r="M35" s="13"/>
      <c r="N35" s="13"/>
      <c r="O35" t="s" s="11">
        <v>270</v>
      </c>
      <c r="P35" t="s" s="11">
        <v>203</v>
      </c>
      <c r="Q35" t="s" s="11">
        <v>42</v>
      </c>
      <c r="R35" s="12">
        <v>112</v>
      </c>
      <c r="S35" s="13"/>
      <c r="T35" s="12">
        <v>141</v>
      </c>
      <c r="U35" s="13"/>
      <c r="V35" t="s" s="11">
        <v>43</v>
      </c>
      <c r="W35" t="s" s="11">
        <v>44</v>
      </c>
      <c r="X35" t="s" s="11">
        <v>271</v>
      </c>
      <c r="Y35" t="s" s="11">
        <v>46</v>
      </c>
      <c r="Z35" t="s" s="11">
        <v>198</v>
      </c>
      <c r="AA35" t="s" s="11">
        <v>271</v>
      </c>
      <c r="AB35" t="s" s="11">
        <v>271</v>
      </c>
      <c r="AC35" s="13"/>
      <c r="AD35" t="s" s="11">
        <v>50</v>
      </c>
      <c r="AE35" s="13"/>
    </row>
    <row r="36" ht="20.05" customHeight="1">
      <c r="A36" t="str" s="9" cm="1">
        <f t="array" ref="A36">"TRZ-436"</f>
        <v>TRZ-436</v>
      </c>
      <c r="B36" t="s" s="10">
        <v>52</v>
      </c>
      <c r="C36" t="s" s="11">
        <v>34</v>
      </c>
      <c r="D36" t="s" s="11">
        <v>89</v>
      </c>
      <c r="E36" t="s" s="11">
        <v>273</v>
      </c>
      <c r="F36" s="12">
        <v>2143</v>
      </c>
      <c r="G36" t="s" s="11">
        <v>274</v>
      </c>
      <c r="H36" t="s" s="11">
        <v>184</v>
      </c>
      <c r="I36" s="13"/>
      <c r="J36" t="s" s="11">
        <v>39</v>
      </c>
      <c r="K36" s="13"/>
      <c r="L36" s="13"/>
      <c r="M36" t="s" s="11">
        <v>100</v>
      </c>
      <c r="N36" s="13"/>
      <c r="O36" t="s" s="11">
        <v>275</v>
      </c>
      <c r="P36" t="s" s="11">
        <v>276</v>
      </c>
      <c r="Q36" t="s" s="11">
        <v>42</v>
      </c>
      <c r="R36" s="13"/>
      <c r="S36" s="13"/>
      <c r="T36" s="13"/>
      <c r="U36" s="13"/>
      <c r="V36" t="s" s="11">
        <v>43</v>
      </c>
      <c r="W36" t="s" s="11">
        <v>44</v>
      </c>
      <c r="X36" t="s" s="11">
        <v>277</v>
      </c>
      <c r="Y36" t="s" s="11">
        <v>46</v>
      </c>
      <c r="Z36" t="s" s="11">
        <v>278</v>
      </c>
      <c r="AA36" t="s" s="11">
        <v>279</v>
      </c>
      <c r="AB36" t="s" s="11">
        <v>279</v>
      </c>
      <c r="AC36" s="13"/>
      <c r="AD36" t="s" s="11">
        <v>50</v>
      </c>
      <c r="AE36" s="13"/>
    </row>
    <row r="37" ht="20.05" customHeight="1">
      <c r="A37" t="str" s="9" cm="1">
        <f t="array" ref="A37">"GLH-516"</f>
        <v>GLH-516</v>
      </c>
      <c r="B37" t="s" s="10">
        <v>33</v>
      </c>
      <c r="C37" t="s" s="11">
        <v>281</v>
      </c>
      <c r="D37" t="s" s="11">
        <v>89</v>
      </c>
      <c r="E37" t="s" s="11">
        <v>282</v>
      </c>
      <c r="F37" s="12">
        <v>2143</v>
      </c>
      <c r="G37" t="s" s="11">
        <v>283</v>
      </c>
      <c r="H37" t="s" s="11">
        <v>184</v>
      </c>
      <c r="I37" s="13"/>
      <c r="J37" t="s" s="11">
        <v>39</v>
      </c>
      <c r="K37" s="13"/>
      <c r="L37" s="13"/>
      <c r="M37" s="13"/>
      <c r="N37" s="13"/>
      <c r="O37" t="s" s="11">
        <v>284</v>
      </c>
      <c r="P37" t="s" s="11">
        <v>285</v>
      </c>
      <c r="Q37" t="s" s="11">
        <v>42</v>
      </c>
      <c r="R37" s="13"/>
      <c r="S37" s="13"/>
      <c r="T37" s="13"/>
      <c r="U37" s="13"/>
      <c r="V37" t="s" s="11">
        <v>43</v>
      </c>
      <c r="W37" t="s" s="11">
        <v>286</v>
      </c>
      <c r="X37" t="s" s="11">
        <v>287</v>
      </c>
      <c r="Y37" t="s" s="11">
        <v>46</v>
      </c>
      <c r="Z37" t="s" s="11">
        <v>198</v>
      </c>
      <c r="AA37" t="s" s="11">
        <v>288</v>
      </c>
      <c r="AB37" t="s" s="11">
        <v>288</v>
      </c>
      <c r="AC37" t="s" s="11">
        <v>289</v>
      </c>
      <c r="AD37" t="s" s="11">
        <v>50</v>
      </c>
      <c r="AE37" s="13"/>
    </row>
    <row r="38" ht="20.05" customHeight="1">
      <c r="A38" t="str" s="9" cm="1">
        <f t="array" ref="A38">"OVS-609"</f>
        <v>OVS-609</v>
      </c>
      <c r="B38" t="s" s="10">
        <v>33</v>
      </c>
      <c r="C38" t="s" s="11">
        <v>34</v>
      </c>
      <c r="D38" t="s" s="11">
        <v>89</v>
      </c>
      <c r="E38" t="s" s="11">
        <v>282</v>
      </c>
      <c r="F38" s="12">
        <v>2143</v>
      </c>
      <c r="G38" t="s" s="11">
        <v>291</v>
      </c>
      <c r="H38" t="s" s="11">
        <v>184</v>
      </c>
      <c r="I38" s="13"/>
      <c r="J38" t="s" s="11">
        <v>39</v>
      </c>
      <c r="K38" s="13"/>
      <c r="L38" s="13"/>
      <c r="M38" t="s" s="11">
        <v>69</v>
      </c>
      <c r="N38" s="13"/>
      <c r="O38" t="s" s="11">
        <v>292</v>
      </c>
      <c r="P38" t="s" s="11">
        <v>293</v>
      </c>
      <c r="Q38" t="s" s="11">
        <v>42</v>
      </c>
      <c r="R38" s="12">
        <v>188</v>
      </c>
      <c r="S38" s="13"/>
      <c r="T38" s="13"/>
      <c r="U38" s="13"/>
      <c r="V38" t="s" s="11">
        <v>43</v>
      </c>
      <c r="W38" t="s" s="11">
        <v>286</v>
      </c>
      <c r="X38" t="s" s="11">
        <v>294</v>
      </c>
      <c r="Y38" t="s" s="11">
        <v>46</v>
      </c>
      <c r="Z38" t="s" s="11">
        <v>198</v>
      </c>
      <c r="AA38" t="s" s="11">
        <v>294</v>
      </c>
      <c r="AB38" t="s" s="11">
        <v>294</v>
      </c>
      <c r="AC38" s="13"/>
      <c r="AD38" t="s" s="11">
        <v>50</v>
      </c>
      <c r="AE38" s="13"/>
    </row>
    <row r="39" ht="20.05" customHeight="1">
      <c r="A39" t="str" s="9" cm="1">
        <f t="array" ref="A39">"YXO-770"</f>
        <v>YXO-770</v>
      </c>
      <c r="B39" t="s" s="10">
        <v>33</v>
      </c>
      <c r="C39" t="s" s="11">
        <v>34</v>
      </c>
      <c r="D39" t="s" s="11">
        <v>89</v>
      </c>
      <c r="E39" t="s" s="11">
        <v>282</v>
      </c>
      <c r="F39" s="12">
        <v>2143</v>
      </c>
      <c r="G39" t="s" s="11">
        <v>296</v>
      </c>
      <c r="H39" t="s" s="11">
        <v>184</v>
      </c>
      <c r="I39" s="13"/>
      <c r="J39" t="s" s="11">
        <v>82</v>
      </c>
      <c r="K39" t="s" s="11">
        <v>83</v>
      </c>
      <c r="L39" t="s" s="11">
        <v>297</v>
      </c>
      <c r="M39" t="s" s="11">
        <v>69</v>
      </c>
      <c r="N39" s="13"/>
      <c r="O39" t="s" s="11">
        <v>298</v>
      </c>
      <c r="P39" t="s" s="11">
        <v>299</v>
      </c>
      <c r="Q39" t="s" s="11">
        <v>42</v>
      </c>
      <c r="R39" s="12">
        <v>222</v>
      </c>
      <c r="S39" s="13"/>
      <c r="T39" s="12">
        <v>248</v>
      </c>
      <c r="U39" s="13"/>
      <c r="V39" t="s" s="11">
        <v>43</v>
      </c>
      <c r="W39" t="s" s="11">
        <v>286</v>
      </c>
      <c r="X39" t="s" s="11">
        <v>144</v>
      </c>
      <c r="Y39" t="s" s="11">
        <v>46</v>
      </c>
      <c r="Z39" t="s" s="11">
        <v>300</v>
      </c>
      <c r="AA39" t="s" s="11">
        <v>301</v>
      </c>
      <c r="AB39" t="s" s="11">
        <v>301</v>
      </c>
      <c r="AC39" s="13"/>
      <c r="AD39" t="s" s="11">
        <v>50</v>
      </c>
      <c r="AE39" s="13"/>
    </row>
    <row r="40" ht="20.05" customHeight="1">
      <c r="A40" t="str" s="9" cm="1">
        <f t="array" ref="A40">"OZS-866"</f>
        <v>OZS-866</v>
      </c>
      <c r="B40" t="s" s="10">
        <v>33</v>
      </c>
      <c r="C40" t="s" s="11">
        <v>34</v>
      </c>
      <c r="D40" t="s" s="11">
        <v>89</v>
      </c>
      <c r="E40" t="s" s="11">
        <v>282</v>
      </c>
      <c r="F40" s="12">
        <v>1950</v>
      </c>
      <c r="G40" t="s" s="11">
        <v>303</v>
      </c>
      <c r="H40" t="s" s="11">
        <v>184</v>
      </c>
      <c r="I40" s="13"/>
      <c r="J40" t="s" s="11">
        <v>82</v>
      </c>
      <c r="K40" t="s" s="11">
        <v>83</v>
      </c>
      <c r="L40" t="s" s="11">
        <v>297</v>
      </c>
      <c r="M40" t="s" s="11">
        <v>69</v>
      </c>
      <c r="N40" s="13"/>
      <c r="O40" t="s" s="11">
        <v>304</v>
      </c>
      <c r="P40" t="s" s="11">
        <v>305</v>
      </c>
      <c r="Q40" t="s" s="11">
        <v>42</v>
      </c>
      <c r="R40" s="13"/>
      <c r="S40" s="13"/>
      <c r="T40" s="12">
        <v>253</v>
      </c>
      <c r="U40" s="13"/>
      <c r="V40" t="s" s="11">
        <v>43</v>
      </c>
      <c r="W40" t="s" s="11">
        <v>286</v>
      </c>
      <c r="X40" t="s" s="11">
        <v>306</v>
      </c>
      <c r="Y40" t="s" s="11">
        <v>46</v>
      </c>
      <c r="Z40" t="s" s="11">
        <v>306</v>
      </c>
      <c r="AA40" t="s" s="11">
        <v>304</v>
      </c>
      <c r="AB40" t="s" s="11">
        <v>304</v>
      </c>
      <c r="AC40" s="13"/>
      <c r="AD40" t="s" s="11">
        <v>50</v>
      </c>
      <c r="AE40" s="13"/>
    </row>
    <row r="41" ht="20.05" customHeight="1">
      <c r="A41" t="str" s="9" cm="1">
        <f t="array" ref="A41">"KVJ-644"</f>
        <v>KVJ-644</v>
      </c>
      <c r="B41" t="s" s="10">
        <v>33</v>
      </c>
      <c r="C41" t="s" s="11">
        <v>34</v>
      </c>
      <c r="D41" t="s" s="11">
        <v>89</v>
      </c>
      <c r="E41" t="s" s="11">
        <v>282</v>
      </c>
      <c r="F41" s="12">
        <v>1950</v>
      </c>
      <c r="G41" t="s" s="11">
        <v>308</v>
      </c>
      <c r="H41" t="s" s="11">
        <v>184</v>
      </c>
      <c r="I41" s="13"/>
      <c r="J41" t="s" s="11">
        <v>82</v>
      </c>
      <c r="K41" t="s" s="11">
        <v>83</v>
      </c>
      <c r="L41" t="s" s="11">
        <v>297</v>
      </c>
      <c r="M41" t="s" s="11">
        <v>69</v>
      </c>
      <c r="N41" s="13"/>
      <c r="O41" t="s" s="11">
        <v>309</v>
      </c>
      <c r="P41" t="s" s="11">
        <v>310</v>
      </c>
      <c r="Q41" t="s" s="11">
        <v>42</v>
      </c>
      <c r="R41" s="13"/>
      <c r="S41" s="13"/>
      <c r="T41" s="12">
        <v>250</v>
      </c>
      <c r="U41" s="13"/>
      <c r="V41" t="s" s="11">
        <v>43</v>
      </c>
      <c r="W41" t="s" s="11">
        <v>286</v>
      </c>
      <c r="X41" t="s" s="11">
        <v>309</v>
      </c>
      <c r="Y41" t="s" s="11">
        <v>46</v>
      </c>
      <c r="Z41" t="s" s="11">
        <v>311</v>
      </c>
      <c r="AA41" t="s" s="11">
        <v>309</v>
      </c>
      <c r="AB41" t="s" s="11">
        <v>309</v>
      </c>
      <c r="AC41" s="13"/>
      <c r="AD41" t="s" s="11">
        <v>50</v>
      </c>
      <c r="AE41" s="13"/>
    </row>
    <row r="42" ht="20.05" customHeight="1">
      <c r="A42" t="str" s="9" cm="1">
        <f t="array" ref="A42">"IHL-945"</f>
        <v>IHL-945</v>
      </c>
      <c r="B42" t="s" s="10">
        <v>33</v>
      </c>
      <c r="C42" t="s" s="11">
        <v>34</v>
      </c>
      <c r="D42" t="s" s="11">
        <v>149</v>
      </c>
      <c r="E42" t="s" s="11">
        <v>313</v>
      </c>
      <c r="F42" s="12">
        <v>1896</v>
      </c>
      <c r="G42" t="s" s="11">
        <v>314</v>
      </c>
      <c r="H42" t="s" s="11">
        <v>184</v>
      </c>
      <c r="I42" s="13"/>
      <c r="J42" t="s" s="11">
        <v>39</v>
      </c>
      <c r="K42" s="13"/>
      <c r="L42" s="13"/>
      <c r="M42" t="s" s="11">
        <v>69</v>
      </c>
      <c r="N42" s="13"/>
      <c r="O42" t="s" s="11">
        <v>315</v>
      </c>
      <c r="P42" t="s" s="11">
        <v>316</v>
      </c>
      <c r="Q42" t="s" s="11">
        <v>42</v>
      </c>
      <c r="R42" s="12">
        <v>182</v>
      </c>
      <c r="S42" s="13"/>
      <c r="T42" s="13"/>
      <c r="U42" s="13"/>
      <c r="V42" t="s" s="11">
        <v>43</v>
      </c>
      <c r="W42" t="s" s="11">
        <v>44</v>
      </c>
      <c r="X42" t="s" s="11">
        <v>317</v>
      </c>
      <c r="Y42" t="s" s="11">
        <v>46</v>
      </c>
      <c r="Z42" t="s" s="11">
        <v>318</v>
      </c>
      <c r="AA42" t="s" s="11">
        <v>319</v>
      </c>
      <c r="AB42" t="s" s="11">
        <v>319</v>
      </c>
      <c r="AC42" s="13"/>
      <c r="AD42" t="s" s="11">
        <v>50</v>
      </c>
      <c r="AE42" s="13"/>
    </row>
    <row r="43" ht="20.05" customHeight="1">
      <c r="A43" t="str" s="9" cm="1">
        <f t="array" ref="A43">"OMZ-273"</f>
        <v>OMZ-273</v>
      </c>
      <c r="B43" t="s" s="10">
        <v>33</v>
      </c>
      <c r="C43" t="s" s="11">
        <v>34</v>
      </c>
      <c r="D43" t="s" s="11">
        <v>149</v>
      </c>
      <c r="E43" t="s" s="11">
        <v>165</v>
      </c>
      <c r="F43" s="12">
        <v>1896</v>
      </c>
      <c r="G43" t="s" s="11">
        <v>321</v>
      </c>
      <c r="H43" t="s" s="11">
        <v>184</v>
      </c>
      <c r="I43" s="13"/>
      <c r="J43" t="s" s="11">
        <v>39</v>
      </c>
      <c r="K43" s="13"/>
      <c r="L43" s="13"/>
      <c r="M43" t="s" s="11">
        <v>69</v>
      </c>
      <c r="N43" s="13"/>
      <c r="O43" t="s" s="11">
        <v>322</v>
      </c>
      <c r="P43" t="s" s="11">
        <v>323</v>
      </c>
      <c r="Q43" t="s" s="11">
        <v>42</v>
      </c>
      <c r="R43" s="12">
        <v>177</v>
      </c>
      <c r="S43" s="13"/>
      <c r="T43" s="13"/>
      <c r="U43" s="13"/>
      <c r="V43" t="s" s="11">
        <v>43</v>
      </c>
      <c r="W43" t="s" s="11">
        <v>44</v>
      </c>
      <c r="X43" t="s" s="11">
        <v>324</v>
      </c>
      <c r="Y43" t="s" s="11">
        <v>46</v>
      </c>
      <c r="Z43" t="s" s="11">
        <v>325</v>
      </c>
      <c r="AA43" t="s" s="11">
        <v>326</v>
      </c>
      <c r="AB43" t="s" s="11">
        <v>326</v>
      </c>
      <c r="AC43" s="13"/>
      <c r="AD43" t="s" s="11">
        <v>50</v>
      </c>
      <c r="AE43" s="13"/>
    </row>
    <row r="44" ht="20.05" customHeight="1">
      <c r="A44" t="str" s="9" cm="1">
        <f t="array" ref="A44">"IJP-444"</f>
        <v>IJP-444</v>
      </c>
      <c r="B44" t="s" s="10">
        <v>33</v>
      </c>
      <c r="C44" t="s" s="11">
        <v>34</v>
      </c>
      <c r="D44" t="s" s="11">
        <v>149</v>
      </c>
      <c r="E44" t="s" s="11">
        <v>165</v>
      </c>
      <c r="F44" s="12">
        <v>1598</v>
      </c>
      <c r="G44" t="s" s="11">
        <v>328</v>
      </c>
      <c r="H44" t="s" s="11">
        <v>184</v>
      </c>
      <c r="I44" s="13"/>
      <c r="J44" t="s" s="11">
        <v>39</v>
      </c>
      <c r="K44" s="13"/>
      <c r="L44" s="13"/>
      <c r="M44" t="s" s="11">
        <v>69</v>
      </c>
      <c r="N44" s="13"/>
      <c r="O44" t="s" s="11">
        <v>329</v>
      </c>
      <c r="P44" t="s" s="11">
        <v>330</v>
      </c>
      <c r="Q44" t="s" s="11">
        <v>42</v>
      </c>
      <c r="R44" s="12">
        <v>152</v>
      </c>
      <c r="S44" s="13"/>
      <c r="T44" s="13"/>
      <c r="U44" s="13"/>
      <c r="V44" t="s" s="11">
        <v>43</v>
      </c>
      <c r="W44" t="s" s="11">
        <v>44</v>
      </c>
      <c r="X44" t="s" s="11">
        <v>331</v>
      </c>
      <c r="Y44" t="s" s="11">
        <v>46</v>
      </c>
      <c r="Z44" t="s" s="11">
        <v>332</v>
      </c>
      <c r="AA44" t="s" s="11">
        <v>333</v>
      </c>
      <c r="AB44" t="s" s="11">
        <v>333</v>
      </c>
      <c r="AC44" s="13"/>
      <c r="AD44" t="s" s="11">
        <v>50</v>
      </c>
      <c r="AE44" s="13"/>
    </row>
    <row r="45" ht="20.05" customHeight="1">
      <c r="A45" t="str" s="9" cm="1">
        <f t="array" ref="A45">"DMH-901"</f>
        <v>DMH-901</v>
      </c>
      <c r="B45" t="s" s="10">
        <v>33</v>
      </c>
      <c r="C45" t="s" s="11">
        <v>335</v>
      </c>
      <c r="D45" t="s" s="11">
        <v>336</v>
      </c>
      <c r="E45" t="s" s="11">
        <v>337</v>
      </c>
      <c r="F45" s="13"/>
      <c r="G45" t="s" s="11">
        <v>338</v>
      </c>
      <c r="H45" t="s" s="11">
        <v>339</v>
      </c>
      <c r="I45" s="13"/>
      <c r="J45" t="s" s="11">
        <v>82</v>
      </c>
      <c r="K45" t="s" s="11">
        <v>83</v>
      </c>
      <c r="L45" t="s" s="11">
        <v>340</v>
      </c>
      <c r="M45" s="13"/>
      <c r="N45" s="13"/>
      <c r="O45" t="s" s="11">
        <v>341</v>
      </c>
      <c r="P45" t="s" s="11">
        <v>342</v>
      </c>
      <c r="Q45" t="s" s="11">
        <v>42</v>
      </c>
      <c r="R45" s="13"/>
      <c r="S45" s="13"/>
      <c r="T45" s="13"/>
      <c r="U45" s="13"/>
      <c r="V45" s="13"/>
      <c r="W45" t="s" s="11">
        <v>286</v>
      </c>
      <c r="X45" t="s" s="11">
        <v>137</v>
      </c>
      <c r="Y45" t="s" s="11">
        <v>46</v>
      </c>
      <c r="Z45" t="s" s="11">
        <v>137</v>
      </c>
      <c r="AA45" t="s" s="11">
        <v>343</v>
      </c>
      <c r="AB45" t="s" s="11">
        <v>343</v>
      </c>
      <c r="AC45" s="13"/>
      <c r="AD45" t="s" s="11">
        <v>50</v>
      </c>
      <c r="AE45" s="13"/>
    </row>
    <row r="46" ht="20.05" customHeight="1">
      <c r="A46" t="str" s="9" cm="1">
        <f t="array" ref="A46">"YHU-776"</f>
        <v>YHU-776</v>
      </c>
      <c r="B46" t="s" s="10">
        <v>52</v>
      </c>
      <c r="C46" t="s" s="11">
        <v>34</v>
      </c>
      <c r="D46" t="s" s="11">
        <v>181</v>
      </c>
      <c r="E46" t="s" s="11">
        <v>182</v>
      </c>
      <c r="F46" s="12">
        <v>1461</v>
      </c>
      <c r="G46" t="s" s="11">
        <v>345</v>
      </c>
      <c r="H46" t="s" s="11">
        <v>339</v>
      </c>
      <c r="I46" s="13"/>
      <c r="J46" t="s" s="11">
        <v>39</v>
      </c>
      <c r="K46" s="13"/>
      <c r="L46" s="13"/>
      <c r="M46" t="s" s="11">
        <v>100</v>
      </c>
      <c r="N46" s="13"/>
      <c r="O46" t="s" s="11">
        <v>311</v>
      </c>
      <c r="P46" t="s" s="11">
        <v>346</v>
      </c>
      <c r="Q46" t="s" s="11">
        <v>42</v>
      </c>
      <c r="R46" s="12">
        <v>135</v>
      </c>
      <c r="S46" s="13"/>
      <c r="T46" s="13"/>
      <c r="U46" s="13"/>
      <c r="V46" t="s" s="11">
        <v>43</v>
      </c>
      <c r="W46" t="s" s="11">
        <v>44</v>
      </c>
      <c r="X46" t="s" s="11">
        <v>347</v>
      </c>
      <c r="Y46" t="s" s="11">
        <v>46</v>
      </c>
      <c r="Z46" t="s" s="11">
        <v>348</v>
      </c>
      <c r="AA46" t="s" s="11">
        <v>349</v>
      </c>
      <c r="AB46" t="s" s="11">
        <v>349</v>
      </c>
      <c r="AC46" t="s" s="11">
        <v>49</v>
      </c>
      <c r="AD46" t="s" s="11">
        <v>50</v>
      </c>
      <c r="AE46" s="13"/>
    </row>
    <row r="47" ht="20.05" customHeight="1">
      <c r="A47" t="str" s="9" cm="1">
        <f t="array" ref="A47">"ILP-291"</f>
        <v>ILP-291</v>
      </c>
      <c r="B47" t="s" s="10">
        <v>33</v>
      </c>
      <c r="C47" t="s" s="11">
        <v>34</v>
      </c>
      <c r="D47" t="s" s="11">
        <v>181</v>
      </c>
      <c r="E47" t="s" s="11">
        <v>182</v>
      </c>
      <c r="F47" s="12">
        <v>1461</v>
      </c>
      <c r="G47" t="s" s="11">
        <v>351</v>
      </c>
      <c r="H47" t="s" s="11">
        <v>339</v>
      </c>
      <c r="I47" s="13"/>
      <c r="J47" t="s" s="11">
        <v>39</v>
      </c>
      <c r="K47" s="13"/>
      <c r="L47" s="13"/>
      <c r="M47" t="s" s="11">
        <v>69</v>
      </c>
      <c r="N47" s="13"/>
      <c r="O47" t="s" s="11">
        <v>352</v>
      </c>
      <c r="P47" t="s" s="11">
        <v>353</v>
      </c>
      <c r="Q47" t="s" s="11">
        <v>42</v>
      </c>
      <c r="R47" s="12">
        <v>135</v>
      </c>
      <c r="S47" s="13"/>
      <c r="T47" s="13"/>
      <c r="U47" s="13"/>
      <c r="V47" t="s" s="11">
        <v>43</v>
      </c>
      <c r="W47" t="s" s="11">
        <v>44</v>
      </c>
      <c r="X47" t="s" s="11">
        <v>354</v>
      </c>
      <c r="Y47" t="s" s="11">
        <v>46</v>
      </c>
      <c r="Z47" t="s" s="11">
        <v>348</v>
      </c>
      <c r="AA47" t="s" s="11">
        <v>355</v>
      </c>
      <c r="AB47" t="s" s="11">
        <v>355</v>
      </c>
      <c r="AC47" t="s" s="11">
        <v>49</v>
      </c>
      <c r="AD47" t="s" s="11">
        <v>50</v>
      </c>
      <c r="AE47" s="13"/>
    </row>
    <row r="48" ht="20.05" customHeight="1">
      <c r="A48" t="str" s="9" cm="1">
        <f t="array" ref="A48">"SLH-464"</f>
        <v>SLH-464</v>
      </c>
      <c r="B48" t="s" s="10">
        <v>33</v>
      </c>
      <c r="C48" t="s" s="11">
        <v>34</v>
      </c>
      <c r="D48" t="s" s="11">
        <v>181</v>
      </c>
      <c r="E48" t="s" s="11">
        <v>182</v>
      </c>
      <c r="F48" s="12">
        <v>1461</v>
      </c>
      <c r="G48" t="s" s="11">
        <v>357</v>
      </c>
      <c r="H48" t="s" s="11">
        <v>339</v>
      </c>
      <c r="I48" s="13"/>
      <c r="J48" t="s" s="11">
        <v>39</v>
      </c>
      <c r="K48" s="13"/>
      <c r="L48" s="13"/>
      <c r="M48" t="s" s="11">
        <v>69</v>
      </c>
      <c r="N48" s="13"/>
      <c r="O48" t="s" s="11">
        <v>358</v>
      </c>
      <c r="P48" t="s" s="11">
        <v>359</v>
      </c>
      <c r="Q48" t="s" s="11">
        <v>42</v>
      </c>
      <c r="R48" s="12">
        <v>137</v>
      </c>
      <c r="S48" s="13"/>
      <c r="T48" s="13"/>
      <c r="U48" s="13"/>
      <c r="V48" t="s" s="11">
        <v>43</v>
      </c>
      <c r="W48" t="s" s="11">
        <v>44</v>
      </c>
      <c r="X48" t="s" s="11">
        <v>360</v>
      </c>
      <c r="Y48" t="s" s="11">
        <v>46</v>
      </c>
      <c r="Z48" t="s" s="11">
        <v>348</v>
      </c>
      <c r="AA48" t="s" s="11">
        <v>361</v>
      </c>
      <c r="AB48" t="s" s="11">
        <v>361</v>
      </c>
      <c r="AC48" t="s" s="11">
        <v>49</v>
      </c>
      <c r="AD48" t="s" s="11">
        <v>50</v>
      </c>
      <c r="AE48" s="13"/>
    </row>
    <row r="49" ht="20.05" customHeight="1">
      <c r="A49" t="str" s="9" cm="1">
        <f t="array" ref="A49">"NKE-749"</f>
        <v>NKE-749</v>
      </c>
      <c r="B49" t="s" s="10">
        <v>52</v>
      </c>
      <c r="C49" t="s" s="11">
        <v>34</v>
      </c>
      <c r="D49" t="s" s="11">
        <v>181</v>
      </c>
      <c r="E49" t="s" s="11">
        <v>182</v>
      </c>
      <c r="F49" s="12">
        <v>1461</v>
      </c>
      <c r="G49" t="s" s="11">
        <v>363</v>
      </c>
      <c r="H49" t="s" s="11">
        <v>339</v>
      </c>
      <c r="I49" s="13"/>
      <c r="J49" t="s" s="11">
        <v>39</v>
      </c>
      <c r="K49" s="13"/>
      <c r="L49" s="13"/>
      <c r="M49" t="s" s="11">
        <v>100</v>
      </c>
      <c r="N49" s="13"/>
      <c r="O49" t="s" s="11">
        <v>364</v>
      </c>
      <c r="P49" t="s" s="11">
        <v>365</v>
      </c>
      <c r="Q49" t="s" s="11">
        <v>42</v>
      </c>
      <c r="R49" s="12">
        <v>123</v>
      </c>
      <c r="S49" s="13"/>
      <c r="T49" s="13"/>
      <c r="U49" s="13"/>
      <c r="V49" t="s" s="11">
        <v>43</v>
      </c>
      <c r="W49" t="s" s="11">
        <v>44</v>
      </c>
      <c r="X49" t="s" s="11">
        <v>366</v>
      </c>
      <c r="Y49" t="s" s="11">
        <v>46</v>
      </c>
      <c r="Z49" t="s" s="11">
        <v>348</v>
      </c>
      <c r="AA49" t="s" s="11">
        <v>367</v>
      </c>
      <c r="AB49" t="s" s="11">
        <v>367</v>
      </c>
      <c r="AC49" t="s" s="11">
        <v>114</v>
      </c>
      <c r="AD49" t="s" s="11">
        <v>50</v>
      </c>
      <c r="AE49" s="13"/>
    </row>
    <row r="50" ht="20.05" customHeight="1">
      <c r="A50" t="str" s="9" cm="1">
        <f t="array" ref="A50">"CLA-346"</f>
        <v>CLA-346</v>
      </c>
      <c r="B50" t="s" s="10">
        <v>33</v>
      </c>
      <c r="C50" t="s" s="11">
        <v>34</v>
      </c>
      <c r="D50" t="s" s="11">
        <v>181</v>
      </c>
      <c r="E50" t="s" s="11">
        <v>369</v>
      </c>
      <c r="F50" s="12">
        <v>1461</v>
      </c>
      <c r="G50" t="s" s="11">
        <v>370</v>
      </c>
      <c r="H50" t="s" s="11">
        <v>339</v>
      </c>
      <c r="I50" s="13"/>
      <c r="J50" t="s" s="11">
        <v>39</v>
      </c>
      <c r="K50" s="13"/>
      <c r="L50" s="13"/>
      <c r="M50" s="13"/>
      <c r="N50" s="13"/>
      <c r="O50" t="s" s="11">
        <v>189</v>
      </c>
      <c r="P50" t="s" s="11">
        <v>371</v>
      </c>
      <c r="Q50" t="s" s="11">
        <v>42</v>
      </c>
      <c r="R50" s="12">
        <v>108</v>
      </c>
      <c r="S50" s="13"/>
      <c r="T50" s="13"/>
      <c r="U50" s="13"/>
      <c r="V50" t="s" s="11">
        <v>43</v>
      </c>
      <c r="W50" t="s" s="11">
        <v>44</v>
      </c>
      <c r="X50" t="s" s="11">
        <v>372</v>
      </c>
      <c r="Y50" t="s" s="11">
        <v>46</v>
      </c>
      <c r="Z50" t="s" s="11">
        <v>348</v>
      </c>
      <c r="AA50" t="s" s="11">
        <v>373</v>
      </c>
      <c r="AB50" t="s" s="11">
        <v>373</v>
      </c>
      <c r="AC50" s="13"/>
      <c r="AD50" t="s" s="11">
        <v>50</v>
      </c>
      <c r="AE50" s="13"/>
    </row>
    <row r="51" ht="20.05" customHeight="1">
      <c r="A51" t="str" s="9" cm="1">
        <f t="array" ref="A51">"CLC-149"</f>
        <v>CLC-149</v>
      </c>
      <c r="B51" t="s" s="10">
        <v>33</v>
      </c>
      <c r="C51" t="s" s="11">
        <v>34</v>
      </c>
      <c r="D51" t="s" s="11">
        <v>181</v>
      </c>
      <c r="E51" t="s" s="11">
        <v>182</v>
      </c>
      <c r="F51" s="12">
        <v>1461</v>
      </c>
      <c r="G51" t="s" s="11">
        <v>375</v>
      </c>
      <c r="H51" t="s" s="11">
        <v>339</v>
      </c>
      <c r="I51" s="13"/>
      <c r="J51" t="s" s="11">
        <v>39</v>
      </c>
      <c r="K51" s="13"/>
      <c r="L51" s="13"/>
      <c r="M51" t="s" s="11">
        <v>69</v>
      </c>
      <c r="N51" s="13"/>
      <c r="O51" t="s" s="11">
        <v>376</v>
      </c>
      <c r="P51" t="s" s="11">
        <v>377</v>
      </c>
      <c r="Q51" t="s" s="11">
        <v>42</v>
      </c>
      <c r="R51" s="12">
        <v>123</v>
      </c>
      <c r="S51" s="13"/>
      <c r="T51" s="13"/>
      <c r="U51" s="13"/>
      <c r="V51" t="s" s="11">
        <v>43</v>
      </c>
      <c r="W51" t="s" s="11">
        <v>44</v>
      </c>
      <c r="X51" t="s" s="11">
        <v>378</v>
      </c>
      <c r="Y51" t="s" s="11">
        <v>46</v>
      </c>
      <c r="Z51" t="s" s="11">
        <v>348</v>
      </c>
      <c r="AA51" t="s" s="11">
        <v>379</v>
      </c>
      <c r="AB51" t="s" s="11">
        <v>379</v>
      </c>
      <c r="AC51" t="s" s="11">
        <v>114</v>
      </c>
      <c r="AD51" t="s" s="11">
        <v>50</v>
      </c>
      <c r="AE51" s="13"/>
    </row>
    <row r="52" ht="20.05" customHeight="1">
      <c r="A52" t="str" s="9" cm="1">
        <f t="array" ref="A52">"CLP-722"</f>
        <v>CLP-722</v>
      </c>
      <c r="B52" t="s" s="10">
        <v>33</v>
      </c>
      <c r="C52" t="s" s="11">
        <v>34</v>
      </c>
      <c r="D52" t="s" s="11">
        <v>181</v>
      </c>
      <c r="E52" t="s" s="11">
        <v>182</v>
      </c>
      <c r="F52" s="12">
        <v>1461</v>
      </c>
      <c r="G52" t="s" s="11">
        <v>381</v>
      </c>
      <c r="H52" t="s" s="11">
        <v>339</v>
      </c>
      <c r="I52" s="13"/>
      <c r="J52" t="s" s="11">
        <v>39</v>
      </c>
      <c r="K52" s="13"/>
      <c r="L52" s="13"/>
      <c r="M52" t="s" s="11">
        <v>69</v>
      </c>
      <c r="N52" s="13"/>
      <c r="O52" t="s" s="11">
        <v>382</v>
      </c>
      <c r="P52" t="s" s="11">
        <v>383</v>
      </c>
      <c r="Q52" t="s" s="11">
        <v>42</v>
      </c>
      <c r="R52" s="12">
        <v>116</v>
      </c>
      <c r="S52" s="13"/>
      <c r="T52" s="13"/>
      <c r="U52" s="13"/>
      <c r="V52" t="s" s="11">
        <v>43</v>
      </c>
      <c r="W52" t="s" s="11">
        <v>44</v>
      </c>
      <c r="X52" t="s" s="11">
        <v>382</v>
      </c>
      <c r="Y52" t="s" s="11">
        <v>46</v>
      </c>
      <c r="Z52" t="s" s="11">
        <v>348</v>
      </c>
      <c r="AA52" t="s" s="11">
        <v>384</v>
      </c>
      <c r="AB52" t="s" s="11">
        <v>384</v>
      </c>
      <c r="AC52" t="s" s="11">
        <v>114</v>
      </c>
      <c r="AD52" t="s" s="11">
        <v>50</v>
      </c>
      <c r="AE52" s="13"/>
    </row>
    <row r="53" ht="20.05" customHeight="1">
      <c r="A53" t="str" s="9" cm="1">
        <f t="array" ref="A53">"YJX-921"</f>
        <v>YJX-921</v>
      </c>
      <c r="B53" t="s" s="10">
        <v>33</v>
      </c>
      <c r="C53" t="s" s="11">
        <v>34</v>
      </c>
      <c r="D53" t="s" s="11">
        <v>181</v>
      </c>
      <c r="E53" t="s" s="11">
        <v>369</v>
      </c>
      <c r="F53" s="12">
        <v>1461</v>
      </c>
      <c r="G53" t="s" s="11">
        <v>386</v>
      </c>
      <c r="H53" t="s" s="11">
        <v>339</v>
      </c>
      <c r="I53" s="13"/>
      <c r="J53" t="s" s="11">
        <v>39</v>
      </c>
      <c r="K53" s="13"/>
      <c r="L53" s="13"/>
      <c r="M53" s="13"/>
      <c r="N53" s="13"/>
      <c r="O53" t="s" s="11">
        <v>387</v>
      </c>
      <c r="P53" t="s" s="11">
        <v>388</v>
      </c>
      <c r="Q53" t="s" s="11">
        <v>42</v>
      </c>
      <c r="R53" s="12">
        <v>108</v>
      </c>
      <c r="S53" s="13"/>
      <c r="T53" s="13"/>
      <c r="U53" s="13"/>
      <c r="V53" t="s" s="11">
        <v>43</v>
      </c>
      <c r="W53" t="s" s="11">
        <v>44</v>
      </c>
      <c r="X53" t="s" s="11">
        <v>389</v>
      </c>
      <c r="Y53" t="s" s="11">
        <v>46</v>
      </c>
      <c r="Z53" t="s" s="11">
        <v>348</v>
      </c>
      <c r="AA53" t="s" s="11">
        <v>390</v>
      </c>
      <c r="AB53" t="s" s="11">
        <v>390</v>
      </c>
      <c r="AC53" s="13"/>
      <c r="AD53" t="s" s="11">
        <v>50</v>
      </c>
      <c r="AE53" s="13"/>
    </row>
    <row r="54" ht="20.05" customHeight="1">
      <c r="A54" t="str" s="9" cm="1">
        <f t="array" ref="A54">"CNU-450"</f>
        <v>CNU-450</v>
      </c>
      <c r="B54" t="s" s="10">
        <v>33</v>
      </c>
      <c r="C54" t="s" s="11">
        <v>34</v>
      </c>
      <c r="D54" t="s" s="11">
        <v>181</v>
      </c>
      <c r="E54" t="s" s="11">
        <v>369</v>
      </c>
      <c r="F54" s="12">
        <v>1461</v>
      </c>
      <c r="G54" t="s" s="11">
        <v>392</v>
      </c>
      <c r="H54" t="s" s="11">
        <v>339</v>
      </c>
      <c r="I54" s="13"/>
      <c r="J54" t="s" s="11">
        <v>39</v>
      </c>
      <c r="K54" s="13"/>
      <c r="L54" s="13"/>
      <c r="M54" s="13"/>
      <c r="N54" s="13"/>
      <c r="O54" t="s" s="11">
        <v>393</v>
      </c>
      <c r="P54" t="s" s="11">
        <v>394</v>
      </c>
      <c r="Q54" t="s" s="11">
        <v>42</v>
      </c>
      <c r="R54" s="12">
        <v>108</v>
      </c>
      <c r="S54" s="13"/>
      <c r="T54" s="13"/>
      <c r="U54" s="13"/>
      <c r="V54" t="s" s="11">
        <v>43</v>
      </c>
      <c r="W54" t="s" s="11">
        <v>44</v>
      </c>
      <c r="X54" t="s" s="11">
        <v>332</v>
      </c>
      <c r="Y54" t="s" s="11">
        <v>46</v>
      </c>
      <c r="Z54" t="s" s="11">
        <v>348</v>
      </c>
      <c r="AA54" t="s" s="11">
        <v>395</v>
      </c>
      <c r="AB54" t="s" s="11">
        <v>395</v>
      </c>
      <c r="AC54" s="13"/>
      <c r="AD54" t="s" s="11">
        <v>50</v>
      </c>
      <c r="AE54" s="13"/>
    </row>
    <row r="55" ht="20.05" customHeight="1">
      <c r="A55" t="str" s="9" cm="1">
        <f t="array" ref="A55">"CNU-451"</f>
        <v>CNU-451</v>
      </c>
      <c r="B55" t="s" s="10">
        <v>33</v>
      </c>
      <c r="C55" t="s" s="11">
        <v>34</v>
      </c>
      <c r="D55" t="s" s="11">
        <v>181</v>
      </c>
      <c r="E55" t="s" s="11">
        <v>369</v>
      </c>
      <c r="F55" s="12">
        <v>1461</v>
      </c>
      <c r="G55" t="s" s="11">
        <v>397</v>
      </c>
      <c r="H55" t="s" s="11">
        <v>339</v>
      </c>
      <c r="I55" s="13"/>
      <c r="J55" t="s" s="11">
        <v>39</v>
      </c>
      <c r="K55" s="13"/>
      <c r="L55" s="13"/>
      <c r="M55" s="13"/>
      <c r="N55" s="13"/>
      <c r="O55" t="s" s="11">
        <v>398</v>
      </c>
      <c r="P55" t="s" s="11">
        <v>399</v>
      </c>
      <c r="Q55" t="s" s="11">
        <v>42</v>
      </c>
      <c r="R55" s="12">
        <v>108</v>
      </c>
      <c r="S55" s="13"/>
      <c r="T55" s="13"/>
      <c r="U55" s="13"/>
      <c r="V55" t="s" s="11">
        <v>43</v>
      </c>
      <c r="W55" t="s" s="11">
        <v>44</v>
      </c>
      <c r="X55" t="s" s="11">
        <v>400</v>
      </c>
      <c r="Y55" t="s" s="11">
        <v>46</v>
      </c>
      <c r="Z55" t="s" s="11">
        <v>348</v>
      </c>
      <c r="AA55" t="s" s="11">
        <v>395</v>
      </c>
      <c r="AB55" t="s" s="11">
        <v>395</v>
      </c>
      <c r="AC55" s="13"/>
      <c r="AD55" t="s" s="11">
        <v>50</v>
      </c>
      <c r="AE55" s="13"/>
    </row>
    <row r="56" ht="20.05" customHeight="1">
      <c r="A56" t="str" s="9" cm="1">
        <f t="array" ref="A56">"MYZ-550"</f>
        <v>MYZ-550</v>
      </c>
      <c r="B56" t="s" s="10">
        <v>33</v>
      </c>
      <c r="C56" t="s" s="11">
        <v>34</v>
      </c>
      <c r="D56" t="s" s="11">
        <v>181</v>
      </c>
      <c r="E56" t="s" s="11">
        <v>182</v>
      </c>
      <c r="F56" s="12">
        <v>1461</v>
      </c>
      <c r="G56" t="s" s="11">
        <v>402</v>
      </c>
      <c r="H56" t="s" s="11">
        <v>339</v>
      </c>
      <c r="I56" s="13"/>
      <c r="J56" t="s" s="11">
        <v>82</v>
      </c>
      <c r="K56" t="s" s="11">
        <v>83</v>
      </c>
      <c r="L56" t="s" s="11">
        <v>403</v>
      </c>
      <c r="M56" t="s" s="11">
        <v>69</v>
      </c>
      <c r="N56" s="13"/>
      <c r="O56" t="s" s="11">
        <v>404</v>
      </c>
      <c r="P56" t="s" s="11">
        <v>405</v>
      </c>
      <c r="Q56" t="s" s="11">
        <v>42</v>
      </c>
      <c r="R56" s="12">
        <v>117</v>
      </c>
      <c r="S56" s="13"/>
      <c r="T56" s="12">
        <v>147</v>
      </c>
      <c r="U56" s="13"/>
      <c r="V56" t="s" s="11">
        <v>43</v>
      </c>
      <c r="W56" t="s" s="11">
        <v>44</v>
      </c>
      <c r="X56" t="s" s="11">
        <v>406</v>
      </c>
      <c r="Y56" t="s" s="11">
        <v>46</v>
      </c>
      <c r="Z56" t="s" s="11">
        <v>348</v>
      </c>
      <c r="AA56" t="s" s="11">
        <v>407</v>
      </c>
      <c r="AB56" t="s" s="11">
        <v>407</v>
      </c>
      <c r="AC56" t="s" s="11">
        <v>114</v>
      </c>
      <c r="AD56" t="s" s="11">
        <v>50</v>
      </c>
      <c r="AE56" s="13"/>
    </row>
    <row r="57" ht="20.05" customHeight="1">
      <c r="A57" t="str" s="9" cm="1">
        <f t="array" ref="A57">"XOI-470"</f>
        <v>XOI-470</v>
      </c>
      <c r="B57" t="s" s="10">
        <v>52</v>
      </c>
      <c r="C57" t="s" s="11">
        <v>34</v>
      </c>
      <c r="D57" t="s" s="11">
        <v>409</v>
      </c>
      <c r="E57" t="s" s="11">
        <v>410</v>
      </c>
      <c r="F57" s="12">
        <v>1990</v>
      </c>
      <c r="G57" t="s" s="11">
        <v>411</v>
      </c>
      <c r="H57" t="s" s="11">
        <v>339</v>
      </c>
      <c r="I57" s="13"/>
      <c r="J57" t="s" s="11">
        <v>39</v>
      </c>
      <c r="K57" s="13"/>
      <c r="L57" s="13"/>
      <c r="M57" t="s" s="11">
        <v>100</v>
      </c>
      <c r="N57" s="13"/>
      <c r="O57" t="s" s="11">
        <v>412</v>
      </c>
      <c r="P57" t="s" s="11">
        <v>413</v>
      </c>
      <c r="Q57" t="s" s="11">
        <v>42</v>
      </c>
      <c r="R57" s="13"/>
      <c r="S57" s="13"/>
      <c r="T57" s="13"/>
      <c r="U57" s="13"/>
      <c r="V57" t="s" s="11">
        <v>43</v>
      </c>
      <c r="W57" t="s" s="11">
        <v>44</v>
      </c>
      <c r="X57" t="s" s="11">
        <v>414</v>
      </c>
      <c r="Y57" t="s" s="11">
        <v>46</v>
      </c>
      <c r="Z57" t="s" s="11">
        <v>348</v>
      </c>
      <c r="AA57" t="s" s="11">
        <v>415</v>
      </c>
      <c r="AB57" t="s" s="11">
        <v>415</v>
      </c>
      <c r="AC57" s="13"/>
      <c r="AD57" t="s" s="11">
        <v>50</v>
      </c>
      <c r="AE57" s="13"/>
    </row>
    <row r="58" ht="20.05" customHeight="1">
      <c r="A58" t="str" s="9" cm="1">
        <f t="array" ref="A58">"FIE-454"</f>
        <v>FIE-454</v>
      </c>
      <c r="B58" t="s" s="10">
        <v>52</v>
      </c>
      <c r="C58" t="s" s="11">
        <v>34</v>
      </c>
      <c r="D58" t="s" s="11">
        <v>409</v>
      </c>
      <c r="E58" t="s" s="11">
        <v>417</v>
      </c>
      <c r="F58" s="12">
        <v>1240</v>
      </c>
      <c r="G58" t="s" s="11">
        <v>418</v>
      </c>
      <c r="H58" t="s" s="11">
        <v>339</v>
      </c>
      <c r="I58" s="13"/>
      <c r="J58" t="s" s="11">
        <v>39</v>
      </c>
      <c r="K58" s="13"/>
      <c r="L58" s="13"/>
      <c r="M58" t="s" s="11">
        <v>54</v>
      </c>
      <c r="N58" s="13"/>
      <c r="O58" t="s" s="11">
        <v>419</v>
      </c>
      <c r="P58" t="s" s="11">
        <v>420</v>
      </c>
      <c r="Q58" t="s" s="11">
        <v>42</v>
      </c>
      <c r="R58" s="12">
        <v>139</v>
      </c>
      <c r="S58" s="13"/>
      <c r="T58" s="13"/>
      <c r="U58" s="13"/>
      <c r="V58" t="s" s="11">
        <v>43</v>
      </c>
      <c r="W58" t="s" s="11">
        <v>44</v>
      </c>
      <c r="X58" t="s" s="11">
        <v>421</v>
      </c>
      <c r="Y58" t="s" s="11">
        <v>46</v>
      </c>
      <c r="Z58" t="s" s="11">
        <v>348</v>
      </c>
      <c r="AA58" t="s" s="11">
        <v>422</v>
      </c>
      <c r="AB58" t="s" s="11">
        <v>422</v>
      </c>
      <c r="AC58" s="13"/>
      <c r="AD58" t="s" s="11">
        <v>50</v>
      </c>
      <c r="AE58" s="13"/>
    </row>
    <row r="59" ht="20.05" customHeight="1">
      <c r="A59" t="str" s="9" cm="1">
        <f t="array" ref="A59">"CLC-612"</f>
        <v>CLC-612</v>
      </c>
      <c r="B59" t="s" s="10">
        <v>33</v>
      </c>
      <c r="C59" t="s" s="11">
        <v>34</v>
      </c>
      <c r="D59" t="s" s="11">
        <v>192</v>
      </c>
      <c r="E59" t="s" s="11">
        <v>424</v>
      </c>
      <c r="F59" s="12">
        <v>1499</v>
      </c>
      <c r="G59" t="s" s="11">
        <v>425</v>
      </c>
      <c r="H59" t="s" s="11">
        <v>339</v>
      </c>
      <c r="I59" s="13"/>
      <c r="J59" t="s" s="11">
        <v>82</v>
      </c>
      <c r="K59" t="s" s="11">
        <v>83</v>
      </c>
      <c r="L59" t="s" s="11">
        <v>403</v>
      </c>
      <c r="M59" s="13"/>
      <c r="N59" s="13"/>
      <c r="O59" t="s" s="11">
        <v>426</v>
      </c>
      <c r="P59" t="s" s="11">
        <v>427</v>
      </c>
      <c r="Q59" t="s" s="11">
        <v>42</v>
      </c>
      <c r="R59" s="12">
        <v>111</v>
      </c>
      <c r="S59" s="13"/>
      <c r="T59" s="13"/>
      <c r="U59" s="13"/>
      <c r="V59" t="s" s="11">
        <v>43</v>
      </c>
      <c r="W59" t="s" s="11">
        <v>44</v>
      </c>
      <c r="X59" t="s" s="11">
        <v>428</v>
      </c>
      <c r="Y59" t="s" s="11">
        <v>46</v>
      </c>
      <c r="Z59" t="s" s="11">
        <v>348</v>
      </c>
      <c r="AA59" t="s" s="11">
        <v>429</v>
      </c>
      <c r="AB59" t="s" s="11">
        <v>429</v>
      </c>
      <c r="AC59" s="13"/>
      <c r="AD59" t="s" s="11">
        <v>50</v>
      </c>
      <c r="AE59" s="13"/>
    </row>
    <row r="60" ht="20.05" customHeight="1">
      <c r="A60" t="str" s="9" cm="1">
        <f t="array" ref="A60">"MVI-417"</f>
        <v>MVI-417</v>
      </c>
      <c r="B60" t="s" s="10">
        <v>33</v>
      </c>
      <c r="C60" t="s" s="11">
        <v>34</v>
      </c>
      <c r="D60" t="s" s="11">
        <v>431</v>
      </c>
      <c r="E60" t="s" s="11">
        <v>432</v>
      </c>
      <c r="F60" s="12">
        <v>1582</v>
      </c>
      <c r="G60" t="s" s="11">
        <v>433</v>
      </c>
      <c r="H60" t="s" s="11">
        <v>339</v>
      </c>
      <c r="I60" s="13"/>
      <c r="J60" t="s" s="11">
        <v>39</v>
      </c>
      <c r="K60" s="13"/>
      <c r="L60" s="13"/>
      <c r="M60" t="s" s="11">
        <v>69</v>
      </c>
      <c r="N60" s="13"/>
      <c r="O60" t="s" s="11">
        <v>434</v>
      </c>
      <c r="P60" t="s" s="11">
        <v>435</v>
      </c>
      <c r="Q60" t="s" s="11">
        <v>42</v>
      </c>
      <c r="R60" s="12">
        <v>150</v>
      </c>
      <c r="S60" s="13"/>
      <c r="T60" s="13"/>
      <c r="U60" s="13"/>
      <c r="V60" t="s" s="11">
        <v>43</v>
      </c>
      <c r="W60" t="s" s="11">
        <v>44</v>
      </c>
      <c r="X60" t="s" s="11">
        <v>436</v>
      </c>
      <c r="Y60" t="s" s="11">
        <v>46</v>
      </c>
      <c r="Z60" t="s" s="11">
        <v>348</v>
      </c>
      <c r="AA60" t="s" s="11">
        <v>437</v>
      </c>
      <c r="AB60" t="s" s="11">
        <v>437</v>
      </c>
      <c r="AC60" t="s" s="11">
        <v>438</v>
      </c>
      <c r="AD60" t="s" s="11">
        <v>50</v>
      </c>
      <c r="AE60" s="13"/>
    </row>
    <row r="61" ht="20.05" customHeight="1">
      <c r="A61" t="str" s="9" cm="1">
        <f t="array" ref="A61">"UZT-120"</f>
        <v>UZT-120</v>
      </c>
      <c r="B61" t="s" s="10">
        <v>33</v>
      </c>
      <c r="C61" t="s" s="11">
        <v>440</v>
      </c>
      <c r="D61" t="s" s="11">
        <v>441</v>
      </c>
      <c r="E61" t="s" s="11">
        <v>442</v>
      </c>
      <c r="F61" s="12">
        <v>6871</v>
      </c>
      <c r="G61" t="s" s="11">
        <v>443</v>
      </c>
      <c r="H61" t="s" s="11">
        <v>339</v>
      </c>
      <c r="I61" s="13"/>
      <c r="J61" t="s" s="11">
        <v>82</v>
      </c>
      <c r="K61" t="s" s="11">
        <v>83</v>
      </c>
      <c r="L61" t="s" s="11">
        <v>340</v>
      </c>
      <c r="M61" s="13"/>
      <c r="N61" s="13"/>
      <c r="O61" t="s" s="11">
        <v>78</v>
      </c>
      <c r="P61" t="s" s="11">
        <v>444</v>
      </c>
      <c r="Q61" t="s" s="11">
        <v>42</v>
      </c>
      <c r="R61" s="13"/>
      <c r="S61" s="13"/>
      <c r="T61" s="13"/>
      <c r="U61" s="13"/>
      <c r="V61" t="s" s="11">
        <v>43</v>
      </c>
      <c r="W61" t="s" s="11">
        <v>286</v>
      </c>
      <c r="X61" t="s" s="11">
        <v>445</v>
      </c>
      <c r="Y61" t="s" s="11">
        <v>46</v>
      </c>
      <c r="Z61" t="s" s="11">
        <v>445</v>
      </c>
      <c r="AA61" t="s" s="11">
        <v>446</v>
      </c>
      <c r="AB61" t="s" s="11">
        <v>446</v>
      </c>
      <c r="AC61" t="s" s="11">
        <v>289</v>
      </c>
      <c r="AD61" t="s" s="11">
        <v>50</v>
      </c>
      <c r="AE61" s="13"/>
    </row>
    <row r="62" ht="20.05" customHeight="1">
      <c r="A62" t="str" s="9" cm="1">
        <f t="array" ref="A62">"LPN-801"</f>
        <v>LPN-801</v>
      </c>
      <c r="B62" t="s" s="10">
        <v>33</v>
      </c>
      <c r="C62" t="s" s="11">
        <v>34</v>
      </c>
      <c r="D62" t="s" s="11">
        <v>441</v>
      </c>
      <c r="E62" t="s" s="11">
        <v>448</v>
      </c>
      <c r="F62" s="12">
        <v>1968</v>
      </c>
      <c r="G62" t="s" s="11">
        <v>449</v>
      </c>
      <c r="H62" t="s" s="11">
        <v>339</v>
      </c>
      <c r="I62" s="13"/>
      <c r="J62" t="s" s="11">
        <v>82</v>
      </c>
      <c r="K62" t="s" s="11">
        <v>83</v>
      </c>
      <c r="L62" t="s" s="11">
        <v>340</v>
      </c>
      <c r="M62" t="s" s="11">
        <v>69</v>
      </c>
      <c r="N62" s="13"/>
      <c r="O62" t="s" s="11">
        <v>244</v>
      </c>
      <c r="P62" t="s" s="11">
        <v>245</v>
      </c>
      <c r="Q62" t="s" s="11">
        <v>42</v>
      </c>
      <c r="R62" s="13"/>
      <c r="S62" s="13"/>
      <c r="T62" s="13"/>
      <c r="U62" s="13"/>
      <c r="V62" t="s" s="11">
        <v>43</v>
      </c>
      <c r="W62" t="s" s="11">
        <v>286</v>
      </c>
      <c r="X62" t="s" s="11">
        <v>137</v>
      </c>
      <c r="Y62" t="s" s="11">
        <v>46</v>
      </c>
      <c r="Z62" t="s" s="11">
        <v>137</v>
      </c>
      <c r="AA62" t="s" s="11">
        <v>450</v>
      </c>
      <c r="AB62" t="s" s="11">
        <v>450</v>
      </c>
      <c r="AC62" t="s" s="11">
        <v>289</v>
      </c>
      <c r="AD62" t="s" s="11">
        <v>50</v>
      </c>
      <c r="AE62" s="13"/>
    </row>
    <row r="63" ht="20.05" customHeight="1">
      <c r="A63" t="str" s="9" cm="1">
        <f t="array" ref="A63">"GOE-977"</f>
        <v>GOE-977</v>
      </c>
      <c r="B63" t="s" s="10">
        <v>33</v>
      </c>
      <c r="C63" t="s" s="11">
        <v>281</v>
      </c>
      <c r="D63" t="s" s="11">
        <v>89</v>
      </c>
      <c r="E63" t="s" s="11">
        <v>452</v>
      </c>
      <c r="F63" s="12">
        <v>2987</v>
      </c>
      <c r="G63" t="s" s="11">
        <v>453</v>
      </c>
      <c r="H63" t="s" s="11">
        <v>339</v>
      </c>
      <c r="I63" s="13"/>
      <c r="J63" t="s" s="11">
        <v>82</v>
      </c>
      <c r="K63" t="s" s="11">
        <v>83</v>
      </c>
      <c r="L63" t="s" s="11">
        <v>340</v>
      </c>
      <c r="M63" s="13"/>
      <c r="N63" s="13"/>
      <c r="O63" t="s" s="11">
        <v>284</v>
      </c>
      <c r="P63" t="s" s="11">
        <v>454</v>
      </c>
      <c r="Q63" t="s" s="11">
        <v>42</v>
      </c>
      <c r="R63" s="13"/>
      <c r="S63" s="13"/>
      <c r="T63" s="13"/>
      <c r="U63" s="13"/>
      <c r="V63" t="s" s="11">
        <v>43</v>
      </c>
      <c r="W63" t="s" s="11">
        <v>286</v>
      </c>
      <c r="X63" t="s" s="11">
        <v>144</v>
      </c>
      <c r="Y63" t="s" s="11">
        <v>46</v>
      </c>
      <c r="Z63" t="s" s="11">
        <v>144</v>
      </c>
      <c r="AA63" t="s" s="11">
        <v>455</v>
      </c>
      <c r="AB63" t="s" s="11">
        <v>455</v>
      </c>
      <c r="AC63" t="s" s="11">
        <v>289</v>
      </c>
      <c r="AD63" t="s" s="11">
        <v>50</v>
      </c>
      <c r="AE63" s="13"/>
    </row>
    <row r="64" ht="20.05" customHeight="1">
      <c r="A64" t="str" s="9" cm="1">
        <f t="array" ref="A64">"IPH-626"</f>
        <v>IPH-626</v>
      </c>
      <c r="B64" t="s" s="10">
        <v>33</v>
      </c>
      <c r="C64" t="s" s="11">
        <v>34</v>
      </c>
      <c r="D64" t="s" s="11">
        <v>132</v>
      </c>
      <c r="E64" t="s" s="11">
        <v>457</v>
      </c>
      <c r="F64" s="12">
        <v>1461</v>
      </c>
      <c r="G64" t="s" s="11">
        <v>458</v>
      </c>
      <c r="H64" t="s" s="11">
        <v>339</v>
      </c>
      <c r="I64" s="13"/>
      <c r="J64" t="s" s="11">
        <v>39</v>
      </c>
      <c r="K64" s="13"/>
      <c r="L64" s="13"/>
      <c r="M64" s="13"/>
      <c r="N64" s="13"/>
      <c r="O64" t="s" s="11">
        <v>358</v>
      </c>
      <c r="P64" t="s" s="11">
        <v>459</v>
      </c>
      <c r="Q64" t="s" s="11">
        <v>42</v>
      </c>
      <c r="R64" s="12">
        <v>117</v>
      </c>
      <c r="S64" s="13"/>
      <c r="T64" s="12">
        <v>149</v>
      </c>
      <c r="U64" s="13"/>
      <c r="V64" t="s" s="11">
        <v>43</v>
      </c>
      <c r="W64" t="s" s="11">
        <v>44</v>
      </c>
      <c r="X64" t="s" s="11">
        <v>460</v>
      </c>
      <c r="Y64" t="s" s="11">
        <v>46</v>
      </c>
      <c r="Z64" t="s" s="11">
        <v>348</v>
      </c>
      <c r="AA64" t="s" s="11">
        <v>461</v>
      </c>
      <c r="AB64" t="s" s="11">
        <v>461</v>
      </c>
      <c r="AC64" s="13"/>
      <c r="AD64" t="s" s="11">
        <v>50</v>
      </c>
      <c r="AE64" s="13"/>
    </row>
    <row r="65" ht="20.05" customHeight="1">
      <c r="A65" t="str" s="9" cm="1">
        <f t="array" ref="A65">"KPR-444"</f>
        <v>KPR-444</v>
      </c>
      <c r="B65" t="s" s="10">
        <v>33</v>
      </c>
      <c r="C65" t="s" s="11">
        <v>34</v>
      </c>
      <c r="D65" t="s" s="11">
        <v>149</v>
      </c>
      <c r="E65" t="s" s="11">
        <v>165</v>
      </c>
      <c r="F65" s="12">
        <v>1598</v>
      </c>
      <c r="G65" t="s" s="11">
        <v>463</v>
      </c>
      <c r="H65" t="s" s="11">
        <v>339</v>
      </c>
      <c r="I65" s="13"/>
      <c r="J65" t="s" s="11">
        <v>39</v>
      </c>
      <c r="K65" s="13"/>
      <c r="L65" s="13"/>
      <c r="M65" s="13"/>
      <c r="N65" s="13"/>
      <c r="O65" t="s" s="11">
        <v>464</v>
      </c>
      <c r="P65" t="s" s="11">
        <v>465</v>
      </c>
      <c r="Q65" t="s" s="11">
        <v>42</v>
      </c>
      <c r="R65" s="12">
        <v>147</v>
      </c>
      <c r="S65" s="13"/>
      <c r="T65" s="13"/>
      <c r="U65" s="13"/>
      <c r="V65" t="s" s="11">
        <v>43</v>
      </c>
      <c r="W65" t="s" s="11">
        <v>44</v>
      </c>
      <c r="X65" t="s" s="11">
        <v>466</v>
      </c>
      <c r="Y65" t="s" s="11">
        <v>46</v>
      </c>
      <c r="Z65" t="s" s="11">
        <v>466</v>
      </c>
      <c r="AA65" t="s" s="11">
        <v>467</v>
      </c>
      <c r="AB65" t="s" s="11">
        <v>467</v>
      </c>
      <c r="AC65" s="13"/>
      <c r="AD65" t="s" s="11">
        <v>50</v>
      </c>
      <c r="AE65" s="13"/>
    </row>
    <row r="66" ht="20.05" customHeight="1">
      <c r="A66" t="str" s="9" cm="1">
        <f t="array" ref="A66">"UZF-789"</f>
        <v>UZF-789</v>
      </c>
      <c r="B66" t="s" s="10">
        <v>33</v>
      </c>
      <c r="C66" t="s" s="11">
        <v>34</v>
      </c>
      <c r="D66" t="s" s="11">
        <v>149</v>
      </c>
      <c r="E66" t="s" s="11">
        <v>165</v>
      </c>
      <c r="F66" s="12">
        <v>1968</v>
      </c>
      <c r="G66" t="s" s="11">
        <v>469</v>
      </c>
      <c r="H66" t="s" s="11">
        <v>339</v>
      </c>
      <c r="I66" s="13"/>
      <c r="J66" t="s" s="11">
        <v>39</v>
      </c>
      <c r="K66" s="13"/>
      <c r="L66" s="13"/>
      <c r="M66" s="13"/>
      <c r="N66" s="13"/>
      <c r="O66" t="s" s="11">
        <v>470</v>
      </c>
      <c r="P66" t="s" s="11">
        <v>471</v>
      </c>
      <c r="Q66" t="s" s="11">
        <v>42</v>
      </c>
      <c r="R66" s="12">
        <v>174</v>
      </c>
      <c r="S66" s="13"/>
      <c r="T66" s="13"/>
      <c r="U66" s="13"/>
      <c r="V66" t="s" s="11">
        <v>43</v>
      </c>
      <c r="W66" t="s" s="11">
        <v>44</v>
      </c>
      <c r="X66" t="s" s="11">
        <v>472</v>
      </c>
      <c r="Y66" t="s" s="11">
        <v>46</v>
      </c>
      <c r="Z66" t="s" s="11">
        <v>473</v>
      </c>
      <c r="AA66" t="s" s="11">
        <v>474</v>
      </c>
      <c r="AB66" t="s" s="11">
        <v>475</v>
      </c>
      <c r="AC66" t="s" s="11">
        <v>49</v>
      </c>
      <c r="AD66" t="s" s="11">
        <v>50</v>
      </c>
      <c r="AE66" s="13"/>
    </row>
    <row r="67" ht="20.05" customHeight="1">
      <c r="A67" t="str" s="9" cm="1">
        <f t="array" ref="A67">"XTO-875"</f>
        <v>XTO-875</v>
      </c>
      <c r="B67" t="s" s="10">
        <v>33</v>
      </c>
      <c r="C67" t="s" s="11">
        <v>34</v>
      </c>
      <c r="D67" t="s" s="11">
        <v>149</v>
      </c>
      <c r="E67" t="s" s="11">
        <v>165</v>
      </c>
      <c r="F67" s="12">
        <v>1968</v>
      </c>
      <c r="G67" t="s" s="11">
        <v>477</v>
      </c>
      <c r="H67" t="s" s="11">
        <v>339</v>
      </c>
      <c r="I67" s="13"/>
      <c r="J67" t="s" s="11">
        <v>39</v>
      </c>
      <c r="K67" s="13"/>
      <c r="L67" s="13"/>
      <c r="M67" t="s" s="11">
        <v>69</v>
      </c>
      <c r="N67" s="13"/>
      <c r="O67" t="s" s="11">
        <v>478</v>
      </c>
      <c r="P67" t="s" s="11">
        <v>383</v>
      </c>
      <c r="Q67" t="s" s="11">
        <v>42</v>
      </c>
      <c r="R67" s="12">
        <v>174</v>
      </c>
      <c r="S67" s="13"/>
      <c r="T67" s="13"/>
      <c r="U67" s="13"/>
      <c r="V67" t="s" s="11">
        <v>43</v>
      </c>
      <c r="W67" t="s" s="11">
        <v>44</v>
      </c>
      <c r="X67" t="s" s="11">
        <v>479</v>
      </c>
      <c r="Y67" t="s" s="11">
        <v>46</v>
      </c>
      <c r="Z67" t="s" s="11">
        <v>479</v>
      </c>
      <c r="AA67" t="s" s="11">
        <v>480</v>
      </c>
      <c r="AB67" t="s" s="11">
        <v>481</v>
      </c>
      <c r="AC67" t="s" s="11">
        <v>49</v>
      </c>
      <c r="AD67" t="s" s="11">
        <v>50</v>
      </c>
      <c r="AE67" s="13"/>
    </row>
    <row r="68" ht="20.05" customHeight="1">
      <c r="A68" t="str" s="9" cm="1">
        <f t="array" ref="A68">"NJM-549"</f>
        <v>NJM-549</v>
      </c>
      <c r="B68" t="s" s="10">
        <v>33</v>
      </c>
      <c r="C68" t="s" s="11">
        <v>34</v>
      </c>
      <c r="D68" t="s" s="11">
        <v>164</v>
      </c>
      <c r="E68" t="s" s="11">
        <v>165</v>
      </c>
      <c r="F68" s="12">
        <v>1598</v>
      </c>
      <c r="G68" t="s" s="11">
        <v>483</v>
      </c>
      <c r="H68" t="s" s="11">
        <v>339</v>
      </c>
      <c r="I68" s="13"/>
      <c r="J68" t="s" s="11">
        <v>39</v>
      </c>
      <c r="K68" s="13"/>
      <c r="L68" s="13"/>
      <c r="M68" s="13"/>
      <c r="N68" s="13"/>
      <c r="O68" t="s" s="11">
        <v>484</v>
      </c>
      <c r="P68" t="s" s="11">
        <v>485</v>
      </c>
      <c r="Q68" t="s" s="11">
        <v>42</v>
      </c>
      <c r="R68" s="12">
        <v>139</v>
      </c>
      <c r="S68" s="13"/>
      <c r="T68" s="13"/>
      <c r="U68" s="13"/>
      <c r="V68" t="s" s="11">
        <v>43</v>
      </c>
      <c r="W68" t="s" s="11">
        <v>44</v>
      </c>
      <c r="X68" t="s" s="11">
        <v>486</v>
      </c>
      <c r="Y68" t="s" s="11">
        <v>46</v>
      </c>
      <c r="Z68" t="s" s="11">
        <v>486</v>
      </c>
      <c r="AA68" t="s" s="11">
        <v>487</v>
      </c>
      <c r="AB68" t="s" s="11">
        <v>487</v>
      </c>
      <c r="AC68" t="s" s="11">
        <v>49</v>
      </c>
      <c r="AD68" t="s" s="11">
        <v>50</v>
      </c>
      <c r="AE68" s="13"/>
    </row>
    <row r="69" ht="20.05" customHeight="1">
      <c r="A69" t="str" s="9" cm="1">
        <f t="array" ref="A69">"BRK-530"</f>
        <v>BRK-530</v>
      </c>
      <c r="B69" t="s" s="10">
        <v>52</v>
      </c>
      <c r="C69" t="s" s="11">
        <v>440</v>
      </c>
      <c r="D69" t="s" s="11">
        <v>489</v>
      </c>
      <c r="E69" t="s" s="11">
        <v>490</v>
      </c>
      <c r="F69" s="12">
        <v>7146</v>
      </c>
      <c r="G69" t="s" s="11">
        <v>491</v>
      </c>
      <c r="H69" t="s" s="11">
        <v>339</v>
      </c>
      <c r="I69" s="13"/>
      <c r="J69" t="s" s="11">
        <v>39</v>
      </c>
      <c r="K69" s="13"/>
      <c r="L69" s="13"/>
      <c r="M69" t="s" s="11">
        <v>253</v>
      </c>
      <c r="N69" s="13"/>
      <c r="O69" t="s" s="11">
        <v>214</v>
      </c>
      <c r="P69" t="s" s="11">
        <v>492</v>
      </c>
      <c r="Q69" t="s" s="11">
        <v>42</v>
      </c>
      <c r="R69" s="13"/>
      <c r="S69" s="13"/>
      <c r="T69" s="13"/>
      <c r="U69" s="13"/>
      <c r="V69" t="s" s="11">
        <v>43</v>
      </c>
      <c r="W69" t="s" s="11">
        <v>286</v>
      </c>
      <c r="X69" t="s" s="11">
        <v>493</v>
      </c>
      <c r="Y69" t="s" s="11">
        <v>46</v>
      </c>
      <c r="Z69" t="s" s="11">
        <v>348</v>
      </c>
      <c r="AA69" t="s" s="11">
        <v>494</v>
      </c>
      <c r="AB69" t="s" s="11">
        <v>494</v>
      </c>
      <c r="AC69" t="s" s="11">
        <v>49</v>
      </c>
      <c r="AD69" t="s" s="11">
        <v>50</v>
      </c>
      <c r="AE69" s="13"/>
    </row>
    <row r="70" ht="20.05" customHeight="1">
      <c r="A70" t="str" s="9" cm="1">
        <f t="array" ref="A70">"YJB-335"</f>
        <v>YJB-335</v>
      </c>
      <c r="B70" t="s" s="10">
        <v>52</v>
      </c>
      <c r="C70" t="s" s="11">
        <v>440</v>
      </c>
      <c r="D70" t="s" s="11">
        <v>489</v>
      </c>
      <c r="E70" t="s" s="11">
        <v>496</v>
      </c>
      <c r="F70" s="12">
        <v>12777</v>
      </c>
      <c r="G70" t="s" s="11">
        <v>497</v>
      </c>
      <c r="H70" t="s" s="11">
        <v>339</v>
      </c>
      <c r="I70" s="13"/>
      <c r="J70" t="s" s="11">
        <v>82</v>
      </c>
      <c r="K70" t="s" s="11">
        <v>83</v>
      </c>
      <c r="L70" t="s" s="11">
        <v>340</v>
      </c>
      <c r="M70" t="s" s="11">
        <v>253</v>
      </c>
      <c r="N70" s="13"/>
      <c r="O70" t="s" s="11">
        <v>434</v>
      </c>
      <c r="P70" t="s" s="11">
        <v>498</v>
      </c>
      <c r="Q70" t="s" s="11">
        <v>42</v>
      </c>
      <c r="R70" s="13"/>
      <c r="S70" s="13"/>
      <c r="T70" s="13"/>
      <c r="U70" s="13"/>
      <c r="V70" t="s" s="11">
        <v>43</v>
      </c>
      <c r="W70" t="s" s="11">
        <v>286</v>
      </c>
      <c r="X70" t="s" s="11">
        <v>499</v>
      </c>
      <c r="Y70" t="s" s="11">
        <v>46</v>
      </c>
      <c r="Z70" t="s" s="11">
        <v>348</v>
      </c>
      <c r="AA70" t="s" s="11">
        <v>500</v>
      </c>
      <c r="AB70" t="s" s="11">
        <v>500</v>
      </c>
      <c r="AC70" t="s" s="11">
        <v>114</v>
      </c>
      <c r="AD70" t="s" s="11">
        <v>50</v>
      </c>
      <c r="AE70" s="13"/>
    </row>
    <row r="71" ht="20.05" customHeight="1">
      <c r="A71" t="str" s="9" cm="1">
        <f t="array" ref="A71">"YJB-335"</f>
        <v>YJB-335</v>
      </c>
      <c r="B71" t="s" s="10">
        <v>52</v>
      </c>
      <c r="C71" t="s" s="11">
        <v>440</v>
      </c>
      <c r="D71" t="s" s="11">
        <v>489</v>
      </c>
      <c r="E71" t="s" s="11">
        <v>496</v>
      </c>
      <c r="F71" s="12">
        <v>12777</v>
      </c>
      <c r="G71" t="s" s="11">
        <v>497</v>
      </c>
      <c r="H71" t="s" s="11">
        <v>339</v>
      </c>
      <c r="I71" s="13"/>
      <c r="J71" t="s" s="11">
        <v>39</v>
      </c>
      <c r="K71" s="13"/>
      <c r="L71" t="s" s="11">
        <v>340</v>
      </c>
      <c r="M71" t="s" s="11">
        <v>253</v>
      </c>
      <c r="N71" s="13"/>
      <c r="O71" t="s" s="11">
        <v>434</v>
      </c>
      <c r="P71" t="s" s="11">
        <v>498</v>
      </c>
      <c r="Q71" t="s" s="11">
        <v>42</v>
      </c>
      <c r="R71" s="13"/>
      <c r="S71" s="13"/>
      <c r="T71" s="13"/>
      <c r="U71" s="13"/>
      <c r="V71" t="s" s="11">
        <v>43</v>
      </c>
      <c r="W71" t="s" s="11">
        <v>286</v>
      </c>
      <c r="X71" t="s" s="11">
        <v>501</v>
      </c>
      <c r="Y71" t="s" s="11">
        <v>46</v>
      </c>
      <c r="Z71" t="s" s="11">
        <v>348</v>
      </c>
      <c r="AA71" t="s" s="11">
        <v>500</v>
      </c>
      <c r="AB71" t="s" s="11">
        <v>500</v>
      </c>
      <c r="AC71" t="s" s="11">
        <v>114</v>
      </c>
      <c r="AD71" t="s" s="11">
        <v>50</v>
      </c>
      <c r="AE71" s="13"/>
    </row>
    <row r="72" ht="20.05" customHeight="1">
      <c r="A72" t="str" s="9" cm="1">
        <f t="array" ref="A72">"DSF-414"</f>
        <v>DSF-414</v>
      </c>
      <c r="B72" t="s" s="10">
        <v>33</v>
      </c>
      <c r="C72" t="s" s="11">
        <v>335</v>
      </c>
      <c r="D72" t="s" s="11">
        <v>503</v>
      </c>
      <c r="E72" s="13"/>
      <c r="F72" s="13"/>
      <c r="G72" t="s" s="11">
        <v>504</v>
      </c>
      <c r="H72" t="s" s="11">
        <v>505</v>
      </c>
      <c r="I72" s="13"/>
      <c r="J72" t="s" s="11">
        <v>39</v>
      </c>
      <c r="K72" s="13"/>
      <c r="L72" s="13"/>
      <c r="M72" s="13"/>
      <c r="N72" s="13"/>
      <c r="O72" t="s" s="11">
        <v>506</v>
      </c>
      <c r="P72" t="s" s="11">
        <v>507</v>
      </c>
      <c r="Q72" t="s" s="11">
        <v>42</v>
      </c>
      <c r="R72" s="13"/>
      <c r="S72" s="13"/>
      <c r="T72" s="13"/>
      <c r="U72" s="13"/>
      <c r="V72" s="13"/>
      <c r="W72" t="s" s="11">
        <v>44</v>
      </c>
      <c r="X72" t="s" s="11">
        <v>508</v>
      </c>
      <c r="Y72" t="s" s="11">
        <v>46</v>
      </c>
      <c r="Z72" t="s" s="11">
        <v>509</v>
      </c>
      <c r="AA72" t="s" s="11">
        <v>509</v>
      </c>
      <c r="AB72" t="s" s="11">
        <v>509</v>
      </c>
      <c r="AC72" s="13"/>
      <c r="AD72" t="s" s="11">
        <v>50</v>
      </c>
      <c r="AE72" s="13"/>
    </row>
    <row r="73" ht="20.05" customHeight="1">
      <c r="A73" t="str" s="9" cm="1">
        <f t="array" ref="A73">"427-SAA"</f>
        <v>427-SAA</v>
      </c>
      <c r="B73" t="s" s="10">
        <v>33</v>
      </c>
      <c r="C73" t="s" s="11">
        <v>511</v>
      </c>
      <c r="D73" t="s" s="11">
        <v>512</v>
      </c>
      <c r="E73" t="s" s="11">
        <v>513</v>
      </c>
      <c r="F73" s="12">
        <v>5880</v>
      </c>
      <c r="G73" t="s" s="11">
        <v>514</v>
      </c>
      <c r="H73" t="s" s="11">
        <v>505</v>
      </c>
      <c r="I73" s="13"/>
      <c r="J73" t="s" s="11">
        <v>39</v>
      </c>
      <c r="K73" s="13"/>
      <c r="L73" s="13"/>
      <c r="M73" s="13"/>
      <c r="N73" s="13"/>
      <c r="O73" s="13"/>
      <c r="P73" s="13"/>
      <c r="Q73" t="s" s="11">
        <v>50</v>
      </c>
      <c r="R73" s="13"/>
      <c r="S73" s="13"/>
      <c r="T73" s="13"/>
      <c r="U73" s="13"/>
      <c r="V73" t="s" s="11">
        <v>43</v>
      </c>
      <c r="W73" t="s" s="11">
        <v>44</v>
      </c>
      <c r="X73" t="s" s="11">
        <v>515</v>
      </c>
      <c r="Y73" t="s" s="11">
        <v>46</v>
      </c>
      <c r="Z73" t="s" s="11">
        <v>516</v>
      </c>
      <c r="AA73" t="s" s="11">
        <v>517</v>
      </c>
      <c r="AB73" t="s" s="11">
        <v>517</v>
      </c>
      <c r="AC73" s="13"/>
      <c r="AD73" t="s" s="11">
        <v>50</v>
      </c>
      <c r="AE73" s="13"/>
    </row>
    <row r="74" ht="20.05" customHeight="1">
      <c r="A74" t="str" s="9" cm="1">
        <f t="array" ref="A74">"YIL-512"</f>
        <v>YIL-512</v>
      </c>
      <c r="B74" t="s" s="10">
        <v>52</v>
      </c>
      <c r="C74" t="s" s="11">
        <v>34</v>
      </c>
      <c r="D74" t="s" s="11">
        <v>35</v>
      </c>
      <c r="E74" t="s" s="11">
        <v>36</v>
      </c>
      <c r="F74" s="12">
        <v>1560</v>
      </c>
      <c r="G74" t="s" s="11">
        <v>519</v>
      </c>
      <c r="H74" t="s" s="11">
        <v>505</v>
      </c>
      <c r="I74" s="13"/>
      <c r="J74" t="s" s="11">
        <v>39</v>
      </c>
      <c r="K74" s="13"/>
      <c r="L74" s="13"/>
      <c r="M74" t="s" s="11">
        <v>54</v>
      </c>
      <c r="N74" s="13"/>
      <c r="O74" t="s" s="11">
        <v>400</v>
      </c>
      <c r="P74" t="s" s="11">
        <v>520</v>
      </c>
      <c r="Q74" t="s" s="11">
        <v>42</v>
      </c>
      <c r="R74" s="12">
        <v>122</v>
      </c>
      <c r="S74" s="13"/>
      <c r="T74" s="13"/>
      <c r="U74" s="13"/>
      <c r="V74" t="s" s="11">
        <v>43</v>
      </c>
      <c r="W74" t="s" s="11">
        <v>44</v>
      </c>
      <c r="X74" t="s" s="11">
        <v>521</v>
      </c>
      <c r="Y74" s="13"/>
      <c r="Z74" s="13"/>
      <c r="AA74" t="s" s="11">
        <v>522</v>
      </c>
      <c r="AB74" t="s" s="11">
        <v>522</v>
      </c>
      <c r="AC74" t="s" s="11">
        <v>49</v>
      </c>
      <c r="AD74" t="s" s="11">
        <v>50</v>
      </c>
      <c r="AE74" s="13"/>
    </row>
    <row r="75" ht="20.05" customHeight="1">
      <c r="A75" t="str" s="9" cm="1">
        <f t="array" ref="A75">"YIM-257"</f>
        <v>YIM-257</v>
      </c>
      <c r="B75" t="s" s="10">
        <v>33</v>
      </c>
      <c r="C75" t="s" s="11">
        <v>34</v>
      </c>
      <c r="D75" t="s" s="11">
        <v>35</v>
      </c>
      <c r="E75" t="s" s="11">
        <v>36</v>
      </c>
      <c r="F75" s="12">
        <v>1560</v>
      </c>
      <c r="G75" t="s" s="11">
        <v>524</v>
      </c>
      <c r="H75" t="s" s="11">
        <v>505</v>
      </c>
      <c r="I75" s="13"/>
      <c r="J75" t="s" s="11">
        <v>39</v>
      </c>
      <c r="K75" s="13"/>
      <c r="L75" s="13"/>
      <c r="M75" s="13"/>
      <c r="N75" s="13"/>
      <c r="O75" t="s" s="11">
        <v>525</v>
      </c>
      <c r="P75" t="s" s="11">
        <v>371</v>
      </c>
      <c r="Q75" t="s" s="11">
        <v>42</v>
      </c>
      <c r="R75" s="12">
        <v>122</v>
      </c>
      <c r="S75" s="13"/>
      <c r="T75" s="13"/>
      <c r="U75" s="13"/>
      <c r="V75" t="s" s="11">
        <v>43</v>
      </c>
      <c r="W75" t="s" s="11">
        <v>44</v>
      </c>
      <c r="X75" t="s" s="11">
        <v>434</v>
      </c>
      <c r="Y75" t="s" s="11">
        <v>46</v>
      </c>
      <c r="Z75" t="s" s="11">
        <v>526</v>
      </c>
      <c r="AA75" t="s" s="11">
        <v>527</v>
      </c>
      <c r="AB75" t="s" s="11">
        <v>527</v>
      </c>
      <c r="AC75" t="s" s="11">
        <v>49</v>
      </c>
      <c r="AD75" t="s" s="11">
        <v>50</v>
      </c>
      <c r="AE75" s="13"/>
    </row>
    <row r="76" ht="20.05" customHeight="1">
      <c r="A76" t="str" s="9" cm="1">
        <f t="array" ref="A76">"YIM-259"</f>
        <v>YIM-259</v>
      </c>
      <c r="B76" t="s" s="10">
        <v>33</v>
      </c>
      <c r="C76" t="s" s="11">
        <v>34</v>
      </c>
      <c r="D76" t="s" s="11">
        <v>35</v>
      </c>
      <c r="E76" t="s" s="11">
        <v>36</v>
      </c>
      <c r="F76" s="12">
        <v>1560</v>
      </c>
      <c r="G76" t="s" s="11">
        <v>529</v>
      </c>
      <c r="H76" t="s" s="11">
        <v>505</v>
      </c>
      <c r="I76" s="13"/>
      <c r="J76" t="s" s="11">
        <v>39</v>
      </c>
      <c r="K76" s="13"/>
      <c r="L76" s="13"/>
      <c r="M76" s="13"/>
      <c r="N76" s="13"/>
      <c r="O76" t="s" s="11">
        <v>530</v>
      </c>
      <c r="P76" t="s" s="11">
        <v>531</v>
      </c>
      <c r="Q76" t="s" s="11">
        <v>42</v>
      </c>
      <c r="R76" s="12">
        <v>122</v>
      </c>
      <c r="S76" s="13"/>
      <c r="T76" s="13"/>
      <c r="U76" s="13"/>
      <c r="V76" t="s" s="11">
        <v>43</v>
      </c>
      <c r="W76" t="s" s="11">
        <v>44</v>
      </c>
      <c r="X76" t="s" s="11">
        <v>195</v>
      </c>
      <c r="Y76" t="s" s="11">
        <v>46</v>
      </c>
      <c r="Z76" t="s" s="11">
        <v>526</v>
      </c>
      <c r="AA76" t="s" s="11">
        <v>527</v>
      </c>
      <c r="AB76" t="s" s="11">
        <v>527</v>
      </c>
      <c r="AC76" t="s" s="11">
        <v>49</v>
      </c>
      <c r="AD76" t="s" s="11">
        <v>50</v>
      </c>
      <c r="AE76" s="13"/>
    </row>
    <row r="77" ht="20.05" customHeight="1">
      <c r="A77" t="str" s="9" cm="1">
        <f t="array" ref="A77">"VVB-271"</f>
        <v>VVB-271</v>
      </c>
      <c r="B77" t="s" s="10">
        <v>33</v>
      </c>
      <c r="C77" t="s" s="11">
        <v>34</v>
      </c>
      <c r="D77" t="s" s="11">
        <v>35</v>
      </c>
      <c r="E77" t="s" s="11">
        <v>36</v>
      </c>
      <c r="F77" s="12">
        <v>1560</v>
      </c>
      <c r="G77" t="s" s="11">
        <v>533</v>
      </c>
      <c r="H77" t="s" s="11">
        <v>505</v>
      </c>
      <c r="I77" s="13"/>
      <c r="J77" t="s" s="11">
        <v>39</v>
      </c>
      <c r="K77" s="13"/>
      <c r="L77" s="13"/>
      <c r="M77" s="13"/>
      <c r="N77" s="13"/>
      <c r="O77" t="s" s="11">
        <v>534</v>
      </c>
      <c r="P77" t="s" s="11">
        <v>227</v>
      </c>
      <c r="Q77" t="s" s="11">
        <v>42</v>
      </c>
      <c r="R77" s="12">
        <v>122</v>
      </c>
      <c r="S77" s="13"/>
      <c r="T77" s="13"/>
      <c r="U77" s="13"/>
      <c r="V77" t="s" s="11">
        <v>43</v>
      </c>
      <c r="W77" t="s" s="11">
        <v>44</v>
      </c>
      <c r="X77" t="s" s="11">
        <v>535</v>
      </c>
      <c r="Y77" t="s" s="11">
        <v>46</v>
      </c>
      <c r="Z77" t="s" s="11">
        <v>535</v>
      </c>
      <c r="AA77" t="s" s="11">
        <v>65</v>
      </c>
      <c r="AB77" t="s" s="11">
        <v>65</v>
      </c>
      <c r="AC77" t="s" s="11">
        <v>49</v>
      </c>
      <c r="AD77" t="s" s="11">
        <v>50</v>
      </c>
      <c r="AE77" s="13"/>
    </row>
    <row r="78" ht="20.05" customHeight="1">
      <c r="A78" t="str" s="9" cm="1">
        <f t="array" ref="A78">"RSL-802"</f>
        <v>RSL-802</v>
      </c>
      <c r="B78" t="s" s="10">
        <v>33</v>
      </c>
      <c r="C78" t="s" s="11">
        <v>34</v>
      </c>
      <c r="D78" t="s" s="11">
        <v>35</v>
      </c>
      <c r="E78" t="s" s="11">
        <v>67</v>
      </c>
      <c r="F78" s="12">
        <v>1997</v>
      </c>
      <c r="G78" t="s" s="11">
        <v>81</v>
      </c>
      <c r="H78" t="s" s="11">
        <v>505</v>
      </c>
      <c r="I78" s="13"/>
      <c r="J78" t="s" s="11">
        <v>39</v>
      </c>
      <c r="K78" s="13"/>
      <c r="L78" t="s" s="11">
        <v>84</v>
      </c>
      <c r="M78" t="s" s="11">
        <v>69</v>
      </c>
      <c r="N78" s="13"/>
      <c r="O78" t="s" s="11">
        <v>85</v>
      </c>
      <c r="P78" t="s" s="11">
        <v>86</v>
      </c>
      <c r="Q78" t="s" s="11">
        <v>42</v>
      </c>
      <c r="R78" s="12">
        <v>189</v>
      </c>
      <c r="S78" s="13"/>
      <c r="T78" s="13"/>
      <c r="U78" s="13"/>
      <c r="V78" t="s" s="11">
        <v>43</v>
      </c>
      <c r="W78" t="s" s="11">
        <v>44</v>
      </c>
      <c r="X78" t="s" s="11">
        <v>536</v>
      </c>
      <c r="Y78" t="s" s="11">
        <v>46</v>
      </c>
      <c r="Z78" t="s" s="11">
        <v>72</v>
      </c>
      <c r="AA78" t="s" s="11">
        <v>87</v>
      </c>
      <c r="AB78" t="s" s="11">
        <v>87</v>
      </c>
      <c r="AC78" s="13"/>
      <c r="AD78" t="s" s="11">
        <v>50</v>
      </c>
      <c r="AE78" s="13"/>
    </row>
    <row r="79" ht="20.05" customHeight="1">
      <c r="A79" t="str" s="9" cm="1">
        <f t="array" ref="A79">"RSL-804"</f>
        <v>RSL-804</v>
      </c>
      <c r="B79" t="s" s="10">
        <v>52</v>
      </c>
      <c r="C79" t="s" s="11">
        <v>34</v>
      </c>
      <c r="D79" t="s" s="11">
        <v>35</v>
      </c>
      <c r="E79" t="s" s="11">
        <v>67</v>
      </c>
      <c r="F79" s="12">
        <v>1997</v>
      </c>
      <c r="G79" t="s" s="11">
        <v>538</v>
      </c>
      <c r="H79" t="s" s="11">
        <v>505</v>
      </c>
      <c r="I79" s="13"/>
      <c r="J79" t="s" s="11">
        <v>39</v>
      </c>
      <c r="K79" s="13"/>
      <c r="L79" s="13"/>
      <c r="M79" t="s" s="11">
        <v>539</v>
      </c>
      <c r="N79" s="13"/>
      <c r="O79" t="s" s="11">
        <v>540</v>
      </c>
      <c r="P79" t="s" s="11">
        <v>86</v>
      </c>
      <c r="Q79" t="s" s="11">
        <v>42</v>
      </c>
      <c r="R79" s="12">
        <v>189</v>
      </c>
      <c r="S79" s="13"/>
      <c r="T79" s="13"/>
      <c r="U79" s="13"/>
      <c r="V79" t="s" s="11">
        <v>43</v>
      </c>
      <c r="W79" t="s" s="11">
        <v>44</v>
      </c>
      <c r="X79" t="s" s="11">
        <v>536</v>
      </c>
      <c r="Y79" t="s" s="11">
        <v>46</v>
      </c>
      <c r="Z79" t="s" s="11">
        <v>526</v>
      </c>
      <c r="AA79" t="s" s="11">
        <v>87</v>
      </c>
      <c r="AB79" t="s" s="11">
        <v>87</v>
      </c>
      <c r="AC79" s="13"/>
      <c r="AD79" t="s" s="11">
        <v>50</v>
      </c>
      <c r="AE79" s="13"/>
    </row>
    <row r="80" ht="20.05" customHeight="1">
      <c r="A80" t="str" s="9" cm="1">
        <f t="array" ref="A80">"MOH-170"</f>
        <v>MOH-170</v>
      </c>
      <c r="B80" t="s" s="10">
        <v>52</v>
      </c>
      <c r="C80" t="s" s="11">
        <v>34</v>
      </c>
      <c r="D80" t="s" s="11">
        <v>409</v>
      </c>
      <c r="E80" t="s" s="11">
        <v>542</v>
      </c>
      <c r="F80" s="12">
        <v>1248</v>
      </c>
      <c r="G80" t="s" s="11">
        <v>543</v>
      </c>
      <c r="H80" t="s" s="11">
        <v>505</v>
      </c>
      <c r="I80" s="13"/>
      <c r="J80" t="s" s="11">
        <v>39</v>
      </c>
      <c r="K80" s="13"/>
      <c r="L80" s="13"/>
      <c r="M80" t="s" s="11">
        <v>100</v>
      </c>
      <c r="N80" s="13"/>
      <c r="O80" t="s" s="11">
        <v>544</v>
      </c>
      <c r="P80" t="s" s="11">
        <v>545</v>
      </c>
      <c r="Q80" t="s" s="11">
        <v>42</v>
      </c>
      <c r="R80" s="12">
        <v>109</v>
      </c>
      <c r="S80" s="13"/>
      <c r="T80" s="13"/>
      <c r="U80" s="13"/>
      <c r="V80" t="s" s="11">
        <v>43</v>
      </c>
      <c r="W80" t="s" s="11">
        <v>44</v>
      </c>
      <c r="X80" t="s" s="11">
        <v>546</v>
      </c>
      <c r="Y80" t="s" s="11">
        <v>46</v>
      </c>
      <c r="Z80" t="s" s="11">
        <v>546</v>
      </c>
      <c r="AA80" t="s" s="11">
        <v>546</v>
      </c>
      <c r="AB80" t="s" s="11">
        <v>547</v>
      </c>
      <c r="AC80" t="s" s="11">
        <v>49</v>
      </c>
      <c r="AD80" t="s" s="11">
        <v>50</v>
      </c>
      <c r="AE80" s="13"/>
    </row>
    <row r="81" ht="20.05" customHeight="1">
      <c r="A81" t="str" s="9" cm="1">
        <f t="array" ref="A81">"GHY-366"</f>
        <v>GHY-366</v>
      </c>
      <c r="B81" t="s" s="10">
        <v>33</v>
      </c>
      <c r="C81" t="s" s="11">
        <v>549</v>
      </c>
      <c r="D81" t="s" s="11">
        <v>192</v>
      </c>
      <c r="E81" t="s" s="11">
        <v>550</v>
      </c>
      <c r="F81" s="12">
        <v>1560</v>
      </c>
      <c r="G81" t="s" s="11">
        <v>551</v>
      </c>
      <c r="H81" t="s" s="11">
        <v>505</v>
      </c>
      <c r="I81" s="13"/>
      <c r="J81" t="s" s="11">
        <v>39</v>
      </c>
      <c r="K81" s="13"/>
      <c r="L81" t="s" s="11">
        <v>552</v>
      </c>
      <c r="M81" s="13"/>
      <c r="N81" s="13"/>
      <c r="O81" t="s" s="11">
        <v>553</v>
      </c>
      <c r="P81" t="s" s="11">
        <v>554</v>
      </c>
      <c r="Q81" t="s" s="11">
        <v>42</v>
      </c>
      <c r="R81" s="12">
        <v>118</v>
      </c>
      <c r="S81" s="13"/>
      <c r="T81" s="13"/>
      <c r="U81" s="13"/>
      <c r="V81" t="s" s="11">
        <v>43</v>
      </c>
      <c r="W81" t="s" s="11">
        <v>44</v>
      </c>
      <c r="X81" t="s" s="11">
        <v>555</v>
      </c>
      <c r="Y81" t="s" s="11">
        <v>46</v>
      </c>
      <c r="Z81" t="s" s="11">
        <v>556</v>
      </c>
      <c r="AA81" t="s" s="11">
        <v>557</v>
      </c>
      <c r="AB81" t="s" s="11">
        <v>557</v>
      </c>
      <c r="AC81" s="13"/>
      <c r="AD81" t="s" s="11">
        <v>50</v>
      </c>
      <c r="AE81" s="13"/>
    </row>
    <row r="82" ht="20.05" customHeight="1">
      <c r="A82" t="str" s="9" cm="1">
        <f t="array" ref="A82">"FNK-418"</f>
        <v>FNK-418</v>
      </c>
      <c r="B82" t="s" s="10">
        <v>52</v>
      </c>
      <c r="C82" t="s" s="11">
        <v>549</v>
      </c>
      <c r="D82" t="s" s="11">
        <v>192</v>
      </c>
      <c r="E82" t="s" s="11">
        <v>559</v>
      </c>
      <c r="F82" s="12">
        <v>1388</v>
      </c>
      <c r="G82" t="s" s="11">
        <v>560</v>
      </c>
      <c r="H82" t="s" s="11">
        <v>505</v>
      </c>
      <c r="I82" s="13"/>
      <c r="J82" t="s" s="11">
        <v>39</v>
      </c>
      <c r="K82" s="13"/>
      <c r="L82" s="13"/>
      <c r="M82" t="s" s="11">
        <v>54</v>
      </c>
      <c r="N82" s="13"/>
      <c r="O82" t="s" s="11">
        <v>561</v>
      </c>
      <c r="P82" t="s" s="11">
        <v>562</v>
      </c>
      <c r="Q82" t="s" s="11">
        <v>42</v>
      </c>
      <c r="R82" s="12">
        <v>147</v>
      </c>
      <c r="S82" s="13"/>
      <c r="T82" s="13"/>
      <c r="U82" s="13"/>
      <c r="V82" t="s" s="11">
        <v>146</v>
      </c>
      <c r="W82" t="s" s="11">
        <v>44</v>
      </c>
      <c r="X82" t="s" s="11">
        <v>563</v>
      </c>
      <c r="Y82" t="s" s="11">
        <v>46</v>
      </c>
      <c r="Z82" t="s" s="11">
        <v>563</v>
      </c>
      <c r="AA82" t="s" s="11">
        <v>247</v>
      </c>
      <c r="AB82" t="s" s="11">
        <v>564</v>
      </c>
      <c r="AC82" t="s" s="11">
        <v>438</v>
      </c>
      <c r="AD82" t="s" s="11">
        <v>50</v>
      </c>
      <c r="AE82" s="13"/>
    </row>
    <row r="83" ht="20.05" customHeight="1">
      <c r="A83" t="str" s="9" cm="1">
        <f t="array" ref="A83">"416-LX"</f>
        <v>416-LX</v>
      </c>
      <c r="B83" t="s" s="10">
        <v>33</v>
      </c>
      <c r="C83" t="s" s="11">
        <v>566</v>
      </c>
      <c r="D83" t="s" s="11">
        <v>567</v>
      </c>
      <c r="E83" t="s" s="11">
        <v>568</v>
      </c>
      <c r="F83" s="12">
        <v>4060</v>
      </c>
      <c r="G83" t="s" s="11">
        <v>569</v>
      </c>
      <c r="H83" t="s" s="11">
        <v>505</v>
      </c>
      <c r="I83" s="13"/>
      <c r="J83" t="s" s="11">
        <v>39</v>
      </c>
      <c r="K83" s="13"/>
      <c r="L83" t="s" s="11">
        <v>570</v>
      </c>
      <c r="M83" s="13"/>
      <c r="N83" s="13"/>
      <c r="O83" s="13"/>
      <c r="P83" s="13"/>
      <c r="Q83" t="s" s="11">
        <v>50</v>
      </c>
      <c r="R83" s="13"/>
      <c r="S83" s="13"/>
      <c r="T83" s="13"/>
      <c r="U83" s="13"/>
      <c r="V83" t="s" s="11">
        <v>43</v>
      </c>
      <c r="W83" t="s" s="11">
        <v>44</v>
      </c>
      <c r="X83" t="s" s="11">
        <v>270</v>
      </c>
      <c r="Y83" t="s" s="11">
        <v>46</v>
      </c>
      <c r="Z83" t="s" s="11">
        <v>571</v>
      </c>
      <c r="AA83" s="13"/>
      <c r="AB83" s="13"/>
      <c r="AC83" s="13"/>
      <c r="AD83" t="s" s="11">
        <v>50</v>
      </c>
      <c r="AE83" s="13"/>
    </row>
    <row r="84" ht="20.05" customHeight="1">
      <c r="A84" t="str" s="9" cm="1">
        <f t="array" ref="A84">"IUY-768"</f>
        <v>IUY-768</v>
      </c>
      <c r="B84" t="s" s="10">
        <v>52</v>
      </c>
      <c r="C84" t="s" s="11">
        <v>34</v>
      </c>
      <c r="D84" t="s" s="11">
        <v>89</v>
      </c>
      <c r="E84" t="s" s="11">
        <v>573</v>
      </c>
      <c r="F84" s="12">
        <v>2140</v>
      </c>
      <c r="G84" t="s" s="11">
        <v>574</v>
      </c>
      <c r="H84" t="s" s="11">
        <v>505</v>
      </c>
      <c r="I84" s="13"/>
      <c r="J84" t="s" s="11">
        <v>39</v>
      </c>
      <c r="K84" s="13"/>
      <c r="L84" s="13"/>
      <c r="M84" t="s" s="11">
        <v>100</v>
      </c>
      <c r="N84" s="13"/>
      <c r="O84" t="s" s="11">
        <v>575</v>
      </c>
      <c r="P84" t="s" s="11">
        <v>576</v>
      </c>
      <c r="Q84" t="s" s="11">
        <v>42</v>
      </c>
      <c r="R84" s="13"/>
      <c r="S84" s="13"/>
      <c r="T84" s="13"/>
      <c r="U84" s="13"/>
      <c r="V84" t="s" s="11">
        <v>43</v>
      </c>
      <c r="W84" t="s" s="11">
        <v>44</v>
      </c>
      <c r="X84" t="s" s="11">
        <v>577</v>
      </c>
      <c r="Y84" t="s" s="11">
        <v>46</v>
      </c>
      <c r="Z84" t="s" s="11">
        <v>577</v>
      </c>
      <c r="AA84" t="s" s="11">
        <v>578</v>
      </c>
      <c r="AB84" t="s" s="11">
        <v>578</v>
      </c>
      <c r="AC84" s="13"/>
      <c r="AD84" t="s" s="11">
        <v>50</v>
      </c>
      <c r="AE84" s="13"/>
    </row>
    <row r="85" ht="20.05" customHeight="1">
      <c r="A85" t="str" s="9" cm="1">
        <f t="array" ref="A85">"IUY-765"</f>
        <v>IUY-765</v>
      </c>
      <c r="B85" t="s" s="10">
        <v>52</v>
      </c>
      <c r="C85" t="s" s="11">
        <v>34</v>
      </c>
      <c r="D85" t="s" s="11">
        <v>89</v>
      </c>
      <c r="E85" t="s" s="11">
        <v>573</v>
      </c>
      <c r="F85" s="12">
        <v>2140</v>
      </c>
      <c r="G85" t="s" s="11">
        <v>580</v>
      </c>
      <c r="H85" t="s" s="11">
        <v>505</v>
      </c>
      <c r="I85" s="13"/>
      <c r="J85" t="s" s="11">
        <v>39</v>
      </c>
      <c r="K85" s="13"/>
      <c r="L85" s="13"/>
      <c r="M85" t="s" s="11">
        <v>100</v>
      </c>
      <c r="N85" s="13"/>
      <c r="O85" t="s" s="11">
        <v>581</v>
      </c>
      <c r="P85" t="s" s="11">
        <v>582</v>
      </c>
      <c r="Q85" t="s" s="11">
        <v>42</v>
      </c>
      <c r="R85" s="13"/>
      <c r="S85" s="13"/>
      <c r="T85" s="13"/>
      <c r="U85" s="13"/>
      <c r="V85" t="s" s="11">
        <v>43</v>
      </c>
      <c r="W85" t="s" s="11">
        <v>44</v>
      </c>
      <c r="X85" t="s" s="11">
        <v>583</v>
      </c>
      <c r="Y85" t="s" s="11">
        <v>46</v>
      </c>
      <c r="Z85" t="s" s="11">
        <v>584</v>
      </c>
      <c r="AA85" t="s" s="11">
        <v>585</v>
      </c>
      <c r="AB85" t="s" s="11">
        <v>585</v>
      </c>
      <c r="AC85" s="13"/>
      <c r="AD85" t="s" s="11">
        <v>50</v>
      </c>
      <c r="AE85" s="13"/>
    </row>
    <row r="86" ht="20.05" customHeight="1">
      <c r="A86" t="str" s="9" cm="1">
        <f t="array" ref="A86">"VTM-238"</f>
        <v>VTM-238</v>
      </c>
      <c r="B86" t="s" s="10">
        <v>52</v>
      </c>
      <c r="C86" t="s" s="11">
        <v>566</v>
      </c>
      <c r="D86" t="s" s="11">
        <v>89</v>
      </c>
      <c r="E86" t="s" s="11">
        <v>587</v>
      </c>
      <c r="F86" s="12">
        <v>5950</v>
      </c>
      <c r="G86" s="12">
        <v>67402315097375</v>
      </c>
      <c r="H86" t="s" s="11">
        <v>505</v>
      </c>
      <c r="I86" s="13"/>
      <c r="J86" t="s" s="11">
        <v>39</v>
      </c>
      <c r="K86" s="13"/>
      <c r="L86" s="13"/>
      <c r="M86" t="s" s="11">
        <v>54</v>
      </c>
      <c r="N86" s="13"/>
      <c r="O86" t="s" s="11">
        <v>588</v>
      </c>
      <c r="P86" t="s" s="11">
        <v>589</v>
      </c>
      <c r="Q86" t="s" s="11">
        <v>42</v>
      </c>
      <c r="R86" s="13"/>
      <c r="S86" s="13"/>
      <c r="T86" s="13"/>
      <c r="U86" s="13"/>
      <c r="V86" t="s" s="11">
        <v>43</v>
      </c>
      <c r="W86" t="s" s="11">
        <v>44</v>
      </c>
      <c r="X86" t="s" s="11">
        <v>590</v>
      </c>
      <c r="Y86" t="s" s="11">
        <v>46</v>
      </c>
      <c r="Z86" t="s" s="11">
        <v>590</v>
      </c>
      <c r="AA86" s="13"/>
      <c r="AB86" s="13"/>
      <c r="AC86" s="13"/>
      <c r="AD86" t="s" s="11">
        <v>50</v>
      </c>
      <c r="AE86" s="13"/>
    </row>
    <row r="87" ht="20.05" customHeight="1">
      <c r="A87" t="str" s="9" cm="1">
        <f t="array" ref="A87">"AKI-975"</f>
        <v>AKI-975</v>
      </c>
      <c r="B87" t="s" s="10">
        <v>52</v>
      </c>
      <c r="C87" t="s" s="11">
        <v>34</v>
      </c>
      <c r="D87" t="s" s="11">
        <v>89</v>
      </c>
      <c r="E87" t="s" s="11">
        <v>592</v>
      </c>
      <c r="F87" s="12">
        <v>2140</v>
      </c>
      <c r="G87" t="s" s="11">
        <v>593</v>
      </c>
      <c r="H87" t="s" s="11">
        <v>505</v>
      </c>
      <c r="I87" s="13"/>
      <c r="J87" t="s" s="11">
        <v>39</v>
      </c>
      <c r="K87" s="13"/>
      <c r="L87" s="13"/>
      <c r="M87" t="s" s="11">
        <v>100</v>
      </c>
      <c r="N87" s="13"/>
      <c r="O87" t="s" s="11">
        <v>516</v>
      </c>
      <c r="P87" t="s" s="11">
        <v>594</v>
      </c>
      <c r="Q87" t="s" s="11">
        <v>42</v>
      </c>
      <c r="R87" s="13"/>
      <c r="S87" s="13"/>
      <c r="T87" s="13"/>
      <c r="U87" s="13"/>
      <c r="V87" t="s" s="11">
        <v>43</v>
      </c>
      <c r="W87" t="s" s="11">
        <v>111</v>
      </c>
      <c r="X87" t="s" s="11">
        <v>153</v>
      </c>
      <c r="Y87" t="s" s="11">
        <v>46</v>
      </c>
      <c r="Z87" t="s" s="11">
        <v>595</v>
      </c>
      <c r="AA87" t="s" s="11">
        <v>596</v>
      </c>
      <c r="AB87" t="s" s="11">
        <v>596</v>
      </c>
      <c r="AC87" s="13"/>
      <c r="AD87" t="s" s="11">
        <v>50</v>
      </c>
      <c r="AE87" s="13"/>
    </row>
    <row r="88" ht="20.05" customHeight="1">
      <c r="A88" t="str" s="9" cm="1">
        <f t="array" ref="A88">"KLX-855"</f>
        <v>KLX-855</v>
      </c>
      <c r="B88" t="s" s="10">
        <v>52</v>
      </c>
      <c r="C88" t="s" s="11">
        <v>598</v>
      </c>
      <c r="D88" t="s" s="11">
        <v>89</v>
      </c>
      <c r="E88" t="s" s="11">
        <v>599</v>
      </c>
      <c r="F88" s="12">
        <v>2143</v>
      </c>
      <c r="G88" t="s" s="11">
        <v>600</v>
      </c>
      <c r="H88" t="s" s="11">
        <v>505</v>
      </c>
      <c r="I88" s="13"/>
      <c r="J88" t="s" s="11">
        <v>39</v>
      </c>
      <c r="K88" s="13"/>
      <c r="L88" s="13"/>
      <c r="M88" t="s" s="11">
        <v>253</v>
      </c>
      <c r="N88" s="13"/>
      <c r="O88" t="s" s="11">
        <v>601</v>
      </c>
      <c r="P88" t="s" s="11">
        <v>602</v>
      </c>
      <c r="Q88" t="s" s="11">
        <v>42</v>
      </c>
      <c r="R88" s="13"/>
      <c r="S88" s="13"/>
      <c r="T88" s="13"/>
      <c r="U88" s="13"/>
      <c r="V88" t="s" s="11">
        <v>43</v>
      </c>
      <c r="W88" t="s" s="11">
        <v>111</v>
      </c>
      <c r="X88" t="s" s="11">
        <v>603</v>
      </c>
      <c r="Y88" t="s" s="11">
        <v>46</v>
      </c>
      <c r="Z88" t="s" s="11">
        <v>604</v>
      </c>
      <c r="AA88" t="s" s="11">
        <v>605</v>
      </c>
      <c r="AB88" t="s" s="11">
        <v>605</v>
      </c>
      <c r="AC88" s="13"/>
      <c r="AD88" t="s" s="11">
        <v>50</v>
      </c>
      <c r="AE88" s="13"/>
    </row>
    <row r="89" ht="20.05" customHeight="1">
      <c r="A89" t="str" s="9" cm="1">
        <f t="array" ref="A89">"ERY-401"</f>
        <v>ERY-401</v>
      </c>
      <c r="B89" t="s" s="10">
        <v>33</v>
      </c>
      <c r="C89" t="s" s="11">
        <v>34</v>
      </c>
      <c r="D89" t="s" s="11">
        <v>89</v>
      </c>
      <c r="E89" t="s" s="11">
        <v>90</v>
      </c>
      <c r="F89" s="12">
        <v>2143</v>
      </c>
      <c r="G89" t="s" s="11">
        <v>91</v>
      </c>
      <c r="H89" t="s" s="11">
        <v>505</v>
      </c>
      <c r="I89" s="13"/>
      <c r="J89" t="s" s="11">
        <v>39</v>
      </c>
      <c r="K89" s="13"/>
      <c r="L89" t="s" s="11">
        <v>92</v>
      </c>
      <c r="M89" t="s" s="11">
        <v>69</v>
      </c>
      <c r="N89" s="13"/>
      <c r="O89" t="s" s="11">
        <v>93</v>
      </c>
      <c r="P89" t="s" s="11">
        <v>94</v>
      </c>
      <c r="Q89" t="s" s="11">
        <v>42</v>
      </c>
      <c r="R89" s="12">
        <v>211</v>
      </c>
      <c r="S89" s="13"/>
      <c r="T89" s="13"/>
      <c r="U89" s="13"/>
      <c r="V89" t="s" s="11">
        <v>43</v>
      </c>
      <c r="W89" t="s" s="11">
        <v>44</v>
      </c>
      <c r="X89" t="s" s="11">
        <v>95</v>
      </c>
      <c r="Y89" t="s" s="11">
        <v>46</v>
      </c>
      <c r="Z89" t="s" s="11">
        <v>95</v>
      </c>
      <c r="AA89" t="s" s="11">
        <v>96</v>
      </c>
      <c r="AB89" t="s" s="11">
        <v>96</v>
      </c>
      <c r="AC89" t="s" s="11">
        <v>49</v>
      </c>
      <c r="AD89" t="s" s="11">
        <v>50</v>
      </c>
      <c r="AE89" s="13"/>
    </row>
    <row r="90" ht="20.05" customHeight="1">
      <c r="A90" t="str" s="9" cm="1">
        <f t="array" ref="A90">"YHX-511"</f>
        <v>YHX-511</v>
      </c>
      <c r="B90" t="s" s="10">
        <v>52</v>
      </c>
      <c r="C90" t="s" s="11">
        <v>34</v>
      </c>
      <c r="D90" t="s" s="11">
        <v>89</v>
      </c>
      <c r="E90" t="s" s="11">
        <v>90</v>
      </c>
      <c r="F90" s="12">
        <v>2143</v>
      </c>
      <c r="G90" t="s" s="11">
        <v>607</v>
      </c>
      <c r="H90" t="s" s="11">
        <v>505</v>
      </c>
      <c r="I90" s="13"/>
      <c r="J90" t="s" s="11">
        <v>39</v>
      </c>
      <c r="K90" s="13"/>
      <c r="L90" s="13"/>
      <c r="M90" t="s" s="11">
        <v>100</v>
      </c>
      <c r="N90" s="13"/>
      <c r="O90" t="s" s="11">
        <v>608</v>
      </c>
      <c r="P90" t="s" s="11">
        <v>609</v>
      </c>
      <c r="Q90" t="s" s="11">
        <v>42</v>
      </c>
      <c r="R90" s="12">
        <v>211</v>
      </c>
      <c r="S90" s="13"/>
      <c r="T90" s="13"/>
      <c r="U90" s="13"/>
      <c r="V90" t="s" s="11">
        <v>43</v>
      </c>
      <c r="W90" t="s" s="11">
        <v>44</v>
      </c>
      <c r="X90" t="s" s="11">
        <v>610</v>
      </c>
      <c r="Y90" t="s" s="11">
        <v>46</v>
      </c>
      <c r="Z90" t="s" s="11">
        <v>611</v>
      </c>
      <c r="AA90" t="s" s="11">
        <v>612</v>
      </c>
      <c r="AB90" t="s" s="11">
        <v>612</v>
      </c>
      <c r="AC90" t="s" s="11">
        <v>49</v>
      </c>
      <c r="AD90" t="s" s="11">
        <v>50</v>
      </c>
      <c r="AE90" s="13"/>
    </row>
    <row r="91" ht="20.05" customHeight="1">
      <c r="A91" t="str" s="9" cm="1">
        <f t="array" ref="A91">"LZL-233"</f>
        <v>LZL-233</v>
      </c>
      <c r="B91" t="s" s="10">
        <v>52</v>
      </c>
      <c r="C91" t="s" s="11">
        <v>34</v>
      </c>
      <c r="D91" t="s" s="11">
        <v>89</v>
      </c>
      <c r="E91" t="s" s="11">
        <v>98</v>
      </c>
      <c r="F91" s="12">
        <v>2143</v>
      </c>
      <c r="G91" t="s" s="11">
        <v>99</v>
      </c>
      <c r="H91" t="s" s="11">
        <v>505</v>
      </c>
      <c r="I91" s="13"/>
      <c r="J91" t="s" s="11">
        <v>39</v>
      </c>
      <c r="K91" s="13"/>
      <c r="L91" t="s" s="11">
        <v>92</v>
      </c>
      <c r="M91" t="s" s="11">
        <v>100</v>
      </c>
      <c r="N91" s="13"/>
      <c r="O91" t="s" s="11">
        <v>101</v>
      </c>
      <c r="P91" t="s" s="11">
        <v>102</v>
      </c>
      <c r="Q91" t="s" s="11">
        <v>42</v>
      </c>
      <c r="R91" s="12">
        <v>211</v>
      </c>
      <c r="S91" s="13"/>
      <c r="T91" s="13"/>
      <c r="U91" s="13"/>
      <c r="V91" t="s" s="11">
        <v>43</v>
      </c>
      <c r="W91" t="s" s="11">
        <v>44</v>
      </c>
      <c r="X91" t="s" s="11">
        <v>95</v>
      </c>
      <c r="Y91" t="s" s="11">
        <v>46</v>
      </c>
      <c r="Z91" t="s" s="11">
        <v>95</v>
      </c>
      <c r="AA91" t="s" s="11">
        <v>103</v>
      </c>
      <c r="AB91" t="s" s="11">
        <v>103</v>
      </c>
      <c r="AC91" s="13"/>
      <c r="AD91" t="s" s="11">
        <v>50</v>
      </c>
      <c r="AE91" s="13"/>
    </row>
    <row r="92" ht="20.05" customHeight="1">
      <c r="A92" t="str" s="9" cm="1">
        <f t="array" ref="A92">"YJE-740"</f>
        <v>YJE-740</v>
      </c>
      <c r="B92" t="s" s="10">
        <v>33</v>
      </c>
      <c r="C92" t="s" s="11">
        <v>549</v>
      </c>
      <c r="D92" t="s" s="11">
        <v>89</v>
      </c>
      <c r="E92" t="s" s="11">
        <v>106</v>
      </c>
      <c r="F92" s="12">
        <v>2143</v>
      </c>
      <c r="G92" t="s" s="11">
        <v>614</v>
      </c>
      <c r="H92" t="s" s="11">
        <v>505</v>
      </c>
      <c r="I92" s="13"/>
      <c r="J92" t="s" s="11">
        <v>82</v>
      </c>
      <c r="K92" t="s" s="11">
        <v>83</v>
      </c>
      <c r="L92" t="s" s="11">
        <v>108</v>
      </c>
      <c r="M92" t="s" s="11">
        <v>69</v>
      </c>
      <c r="N92" s="13"/>
      <c r="O92" t="s" s="11">
        <v>315</v>
      </c>
      <c r="P92" t="s" s="11">
        <v>316</v>
      </c>
      <c r="Q92" t="s" s="11">
        <v>42</v>
      </c>
      <c r="R92" s="12">
        <v>188</v>
      </c>
      <c r="S92" s="13"/>
      <c r="T92" s="13"/>
      <c r="U92" s="13"/>
      <c r="V92" t="s" s="11">
        <v>43</v>
      </c>
      <c r="W92" t="s" s="11">
        <v>111</v>
      </c>
      <c r="X92" t="s" s="11">
        <v>615</v>
      </c>
      <c r="Y92" t="s" s="11">
        <v>46</v>
      </c>
      <c r="Z92" t="s" s="11">
        <v>616</v>
      </c>
      <c r="AA92" t="s" s="11">
        <v>617</v>
      </c>
      <c r="AB92" t="s" s="11">
        <v>617</v>
      </c>
      <c r="AC92" s="13"/>
      <c r="AD92" t="s" s="11">
        <v>50</v>
      </c>
      <c r="AE92" s="13"/>
    </row>
    <row r="93" ht="20.05" customHeight="1">
      <c r="A93" t="str" s="9" cm="1">
        <f t="array" ref="A93">"CLG-114"</f>
        <v>CLG-114</v>
      </c>
      <c r="B93" t="s" s="10">
        <v>52</v>
      </c>
      <c r="C93" t="s" s="11">
        <v>598</v>
      </c>
      <c r="D93" t="s" s="11">
        <v>89</v>
      </c>
      <c r="E93" t="s" s="11">
        <v>282</v>
      </c>
      <c r="F93" s="12">
        <v>2987</v>
      </c>
      <c r="G93" t="s" s="11">
        <v>619</v>
      </c>
      <c r="H93" t="s" s="11">
        <v>505</v>
      </c>
      <c r="I93" s="13"/>
      <c r="J93" t="s" s="11">
        <v>82</v>
      </c>
      <c r="K93" t="s" s="11">
        <v>83</v>
      </c>
      <c r="L93" t="s" s="11">
        <v>108</v>
      </c>
      <c r="M93" t="s" s="11">
        <v>253</v>
      </c>
      <c r="N93" s="13"/>
      <c r="O93" t="s" s="11">
        <v>620</v>
      </c>
      <c r="P93" t="s" s="11">
        <v>621</v>
      </c>
      <c r="Q93" t="s" s="11">
        <v>42</v>
      </c>
      <c r="R93" s="13"/>
      <c r="S93" s="13"/>
      <c r="T93" s="13"/>
      <c r="U93" s="13"/>
      <c r="V93" t="s" s="11">
        <v>43</v>
      </c>
      <c r="W93" t="s" s="11">
        <v>111</v>
      </c>
      <c r="X93" t="s" s="11">
        <v>622</v>
      </c>
      <c r="Y93" t="s" s="11">
        <v>46</v>
      </c>
      <c r="Z93" t="s" s="11">
        <v>622</v>
      </c>
      <c r="AA93" t="s" s="11">
        <v>623</v>
      </c>
      <c r="AB93" t="s" s="11">
        <v>623</v>
      </c>
      <c r="AC93" t="s" s="11">
        <v>289</v>
      </c>
      <c r="AD93" t="s" s="11">
        <v>50</v>
      </c>
      <c r="AE93" s="13"/>
    </row>
    <row r="94" ht="20.05" customHeight="1">
      <c r="A94" t="str" s="9" cm="1">
        <f t="array" ref="A94">"EUX-886"</f>
        <v>EUX-886</v>
      </c>
      <c r="B94" t="s" s="10">
        <v>33</v>
      </c>
      <c r="C94" t="s" s="11">
        <v>549</v>
      </c>
      <c r="D94" t="s" s="11">
        <v>89</v>
      </c>
      <c r="E94" t="s" s="11">
        <v>625</v>
      </c>
      <c r="F94" s="12">
        <v>1950</v>
      </c>
      <c r="G94" t="s" s="11">
        <v>626</v>
      </c>
      <c r="H94" t="s" s="11">
        <v>505</v>
      </c>
      <c r="I94" s="13"/>
      <c r="J94" t="s" s="11">
        <v>82</v>
      </c>
      <c r="K94" t="s" s="11">
        <v>83</v>
      </c>
      <c r="L94" t="s" s="11">
        <v>108</v>
      </c>
      <c r="M94" s="13"/>
      <c r="N94" s="13"/>
      <c r="O94" t="s" s="11">
        <v>627</v>
      </c>
      <c r="P94" t="s" s="11">
        <v>628</v>
      </c>
      <c r="Q94" t="s" s="11">
        <v>42</v>
      </c>
      <c r="R94" s="13"/>
      <c r="S94" s="12">
        <v>44</v>
      </c>
      <c r="T94" s="13"/>
      <c r="U94" s="12">
        <v>42</v>
      </c>
      <c r="V94" t="s" s="11">
        <v>43</v>
      </c>
      <c r="W94" t="s" s="11">
        <v>111</v>
      </c>
      <c r="X94" t="s" s="11">
        <v>629</v>
      </c>
      <c r="Y94" t="s" s="11">
        <v>46</v>
      </c>
      <c r="Z94" t="s" s="11">
        <v>629</v>
      </c>
      <c r="AA94" t="s" s="11">
        <v>630</v>
      </c>
      <c r="AB94" t="s" s="11">
        <v>631</v>
      </c>
      <c r="AC94" t="s" s="11">
        <v>114</v>
      </c>
      <c r="AD94" t="s" s="11">
        <v>50</v>
      </c>
      <c r="AE94" t="s" s="11">
        <v>632</v>
      </c>
    </row>
    <row r="95" ht="20.05" customHeight="1">
      <c r="A95" t="str" s="9" cm="1">
        <f t="array" ref="A95">"RVP-357"</f>
        <v>RVP-357</v>
      </c>
      <c r="B95" t="s" s="10">
        <v>33</v>
      </c>
      <c r="C95" t="s" s="11">
        <v>549</v>
      </c>
      <c r="D95" t="s" s="11">
        <v>89</v>
      </c>
      <c r="E95" t="s" s="11">
        <v>625</v>
      </c>
      <c r="F95" s="12">
        <v>1950</v>
      </c>
      <c r="G95" t="s" s="11">
        <v>634</v>
      </c>
      <c r="H95" t="s" s="11">
        <v>505</v>
      </c>
      <c r="I95" s="13"/>
      <c r="J95" t="s" s="11">
        <v>82</v>
      </c>
      <c r="K95" t="s" s="11">
        <v>83</v>
      </c>
      <c r="L95" t="s" s="11">
        <v>108</v>
      </c>
      <c r="M95" s="13"/>
      <c r="N95" s="13"/>
      <c r="O95" t="s" s="11">
        <v>635</v>
      </c>
      <c r="P95" t="s" s="11">
        <v>636</v>
      </c>
      <c r="Q95" t="s" s="11">
        <v>42</v>
      </c>
      <c r="R95" s="13"/>
      <c r="S95" s="12">
        <v>42</v>
      </c>
      <c r="T95" s="13"/>
      <c r="U95" s="12">
        <v>41</v>
      </c>
      <c r="V95" t="s" s="11">
        <v>43</v>
      </c>
      <c r="W95" t="s" s="11">
        <v>111</v>
      </c>
      <c r="X95" t="s" s="11">
        <v>637</v>
      </c>
      <c r="Y95" t="s" s="11">
        <v>46</v>
      </c>
      <c r="Z95" t="s" s="11">
        <v>637</v>
      </c>
      <c r="AA95" t="s" s="11">
        <v>638</v>
      </c>
      <c r="AB95" t="s" s="11">
        <v>639</v>
      </c>
      <c r="AC95" t="s" s="11">
        <v>114</v>
      </c>
      <c r="AD95" t="s" s="11">
        <v>50</v>
      </c>
      <c r="AE95" t="s" s="11">
        <v>632</v>
      </c>
    </row>
    <row r="96" ht="20.05" customHeight="1">
      <c r="A96" t="str" s="9" cm="1">
        <f t="array" ref="A96">"NOP-740"</f>
        <v>NOP-740</v>
      </c>
      <c r="B96" t="s" s="10">
        <v>33</v>
      </c>
      <c r="C96" t="s" s="11">
        <v>105</v>
      </c>
      <c r="D96" t="s" s="11">
        <v>89</v>
      </c>
      <c r="E96" t="s" s="11">
        <v>106</v>
      </c>
      <c r="F96" s="12">
        <v>2987</v>
      </c>
      <c r="G96" t="s" s="11">
        <v>107</v>
      </c>
      <c r="H96" t="s" s="11">
        <v>505</v>
      </c>
      <c r="I96" s="13"/>
      <c r="J96" t="s" s="11">
        <v>82</v>
      </c>
      <c r="K96" t="s" s="11">
        <v>83</v>
      </c>
      <c r="L96" t="s" s="11">
        <v>108</v>
      </c>
      <c r="M96" s="13"/>
      <c r="N96" s="13"/>
      <c r="O96" t="s" s="11">
        <v>109</v>
      </c>
      <c r="P96" t="s" s="11">
        <v>110</v>
      </c>
      <c r="Q96" t="s" s="11">
        <v>42</v>
      </c>
      <c r="R96" s="13"/>
      <c r="S96" s="13"/>
      <c r="T96" s="13"/>
      <c r="U96" s="13"/>
      <c r="V96" t="s" s="11">
        <v>43</v>
      </c>
      <c r="W96" t="s" s="11">
        <v>111</v>
      </c>
      <c r="X96" t="s" s="11">
        <v>109</v>
      </c>
      <c r="Y96" t="s" s="11">
        <v>46</v>
      </c>
      <c r="Z96" t="s" s="11">
        <v>112</v>
      </c>
      <c r="AA96" t="s" s="11">
        <v>109</v>
      </c>
      <c r="AB96" t="s" s="11">
        <v>113</v>
      </c>
      <c r="AC96" t="s" s="11">
        <v>114</v>
      </c>
      <c r="AD96" t="s" s="11">
        <v>50</v>
      </c>
      <c r="AE96" s="13"/>
    </row>
    <row r="97" ht="20.05" customHeight="1">
      <c r="A97" t="str" s="9" cm="1">
        <f t="array" ref="A97">"FSH-363"</f>
        <v>FSH-363</v>
      </c>
      <c r="B97" t="s" s="10">
        <v>33</v>
      </c>
      <c r="C97" t="s" s="11">
        <v>281</v>
      </c>
      <c r="D97" t="s" s="11">
        <v>641</v>
      </c>
      <c r="E97" t="s" s="11">
        <v>642</v>
      </c>
      <c r="F97" s="12">
        <v>2998</v>
      </c>
      <c r="G97" t="s" s="11">
        <v>643</v>
      </c>
      <c r="H97" t="s" s="11">
        <v>505</v>
      </c>
      <c r="I97" s="13"/>
      <c r="J97" t="s" s="11">
        <v>39</v>
      </c>
      <c r="K97" s="13"/>
      <c r="L97" s="13"/>
      <c r="M97" s="13"/>
      <c r="N97" s="13"/>
      <c r="O97" t="s" s="11">
        <v>553</v>
      </c>
      <c r="P97" t="s" s="11">
        <v>644</v>
      </c>
      <c r="Q97" t="s" s="11">
        <v>42</v>
      </c>
      <c r="R97" s="13"/>
      <c r="S97" s="13"/>
      <c r="T97" s="13"/>
      <c r="U97" s="13"/>
      <c r="V97" t="s" s="11">
        <v>43</v>
      </c>
      <c r="W97" t="s" s="11">
        <v>44</v>
      </c>
      <c r="X97" t="s" s="11">
        <v>635</v>
      </c>
      <c r="Y97" t="s" s="11">
        <v>46</v>
      </c>
      <c r="Z97" t="s" s="11">
        <v>635</v>
      </c>
      <c r="AA97" t="s" s="11">
        <v>645</v>
      </c>
      <c r="AB97" t="s" s="11">
        <v>646</v>
      </c>
      <c r="AC97" t="s" s="11">
        <v>647</v>
      </c>
      <c r="AD97" t="s" s="11">
        <v>50</v>
      </c>
      <c r="AE97" s="13"/>
    </row>
    <row r="98" ht="20.05" customHeight="1">
      <c r="A98" t="str" s="9" cm="1">
        <f t="array" ref="A98">"SNB-741"</f>
        <v>SNB-741</v>
      </c>
      <c r="B98" t="s" s="10">
        <v>33</v>
      </c>
      <c r="C98" t="s" s="11">
        <v>549</v>
      </c>
      <c r="D98" t="s" s="11">
        <v>116</v>
      </c>
      <c r="E98" t="s" s="11">
        <v>649</v>
      </c>
      <c r="F98" s="12">
        <v>1362</v>
      </c>
      <c r="G98" t="s" s="11">
        <v>650</v>
      </c>
      <c r="H98" t="s" s="11">
        <v>505</v>
      </c>
      <c r="I98" s="13"/>
      <c r="J98" t="s" s="11">
        <v>39</v>
      </c>
      <c r="K98" s="13"/>
      <c r="L98" t="s" s="11">
        <v>651</v>
      </c>
      <c r="M98" s="13"/>
      <c r="N98" s="13"/>
      <c r="O98" t="s" s="11">
        <v>652</v>
      </c>
      <c r="P98" t="s" s="11">
        <v>653</v>
      </c>
      <c r="Q98" t="s" s="11">
        <v>42</v>
      </c>
      <c r="R98" s="12">
        <v>144</v>
      </c>
      <c r="S98" s="13"/>
      <c r="T98" s="13"/>
      <c r="U98" s="13"/>
      <c r="V98" t="s" s="11">
        <v>146</v>
      </c>
      <c r="W98" t="s" s="11">
        <v>44</v>
      </c>
      <c r="X98" t="s" s="11">
        <v>322</v>
      </c>
      <c r="Y98" t="s" s="11">
        <v>654</v>
      </c>
      <c r="Z98" t="s" s="11">
        <v>322</v>
      </c>
      <c r="AA98" t="s" s="11">
        <v>655</v>
      </c>
      <c r="AB98" t="s" s="11">
        <v>655</v>
      </c>
      <c r="AC98" s="13"/>
      <c r="AD98" t="s" s="11">
        <v>50</v>
      </c>
      <c r="AE98" s="13"/>
    </row>
    <row r="99" ht="20.05" customHeight="1">
      <c r="A99" t="str" s="9" cm="1">
        <f t="array" ref="A99">"VMZ-417"</f>
        <v>VMZ-417</v>
      </c>
      <c r="B99" t="s" s="10">
        <v>52</v>
      </c>
      <c r="C99" t="s" s="11">
        <v>34</v>
      </c>
      <c r="D99" t="s" s="11">
        <v>116</v>
      </c>
      <c r="E99" t="s" s="11">
        <v>117</v>
      </c>
      <c r="F99" s="12">
        <v>1686</v>
      </c>
      <c r="G99" t="s" s="11">
        <v>657</v>
      </c>
      <c r="H99" t="s" s="11">
        <v>505</v>
      </c>
      <c r="I99" s="13"/>
      <c r="J99" t="s" s="11">
        <v>82</v>
      </c>
      <c r="K99" t="s" s="11">
        <v>83</v>
      </c>
      <c r="L99" t="s" s="11">
        <v>108</v>
      </c>
      <c r="M99" t="s" s="11">
        <v>54</v>
      </c>
      <c r="N99" s="13"/>
      <c r="O99" t="s" s="11">
        <v>658</v>
      </c>
      <c r="P99" t="s" s="11">
        <v>659</v>
      </c>
      <c r="Q99" t="s" s="11">
        <v>42</v>
      </c>
      <c r="R99" s="12">
        <v>160</v>
      </c>
      <c r="S99" s="13"/>
      <c r="T99" s="13"/>
      <c r="U99" s="13"/>
      <c r="V99" t="s" s="11">
        <v>43</v>
      </c>
      <c r="W99" t="s" s="11">
        <v>44</v>
      </c>
      <c r="X99" t="s" s="11">
        <v>660</v>
      </c>
      <c r="Y99" t="s" s="11">
        <v>46</v>
      </c>
      <c r="Z99" t="s" s="11">
        <v>661</v>
      </c>
      <c r="AA99" t="s" s="11">
        <v>122</v>
      </c>
      <c r="AB99" t="s" s="11">
        <v>122</v>
      </c>
      <c r="AC99" t="s" s="11">
        <v>49</v>
      </c>
      <c r="AD99" t="s" s="11">
        <v>50</v>
      </c>
      <c r="AE99" s="13"/>
    </row>
    <row r="100" ht="20.05" customHeight="1">
      <c r="A100" t="str" s="9" cm="1">
        <f t="array" ref="A100">"VMZ-419"</f>
        <v>VMZ-419</v>
      </c>
      <c r="B100" t="s" s="10">
        <v>52</v>
      </c>
      <c r="C100" t="s" s="11">
        <v>34</v>
      </c>
      <c r="D100" t="s" s="11">
        <v>116</v>
      </c>
      <c r="E100" t="s" s="11">
        <v>117</v>
      </c>
      <c r="F100" s="12">
        <v>1686</v>
      </c>
      <c r="G100" t="s" s="11">
        <v>118</v>
      </c>
      <c r="H100" t="s" s="11">
        <v>505</v>
      </c>
      <c r="I100" s="13"/>
      <c r="J100" t="s" s="11">
        <v>39</v>
      </c>
      <c r="K100" s="13"/>
      <c r="L100" t="s" s="11">
        <v>92</v>
      </c>
      <c r="M100" t="s" s="11">
        <v>54</v>
      </c>
      <c r="N100" s="13"/>
      <c r="O100" t="s" s="11">
        <v>119</v>
      </c>
      <c r="P100" t="s" s="11">
        <v>120</v>
      </c>
      <c r="Q100" t="s" s="11">
        <v>42</v>
      </c>
      <c r="R100" s="12">
        <v>160</v>
      </c>
      <c r="S100" s="13"/>
      <c r="T100" s="13"/>
      <c r="U100" s="13"/>
      <c r="V100" t="s" s="11">
        <v>43</v>
      </c>
      <c r="W100" t="s" s="11">
        <v>44</v>
      </c>
      <c r="X100" t="s" s="11">
        <v>95</v>
      </c>
      <c r="Y100" t="s" s="11">
        <v>46</v>
      </c>
      <c r="Z100" t="s" s="11">
        <v>121</v>
      </c>
      <c r="AA100" t="s" s="11">
        <v>122</v>
      </c>
      <c r="AB100" t="s" s="11">
        <v>122</v>
      </c>
      <c r="AC100" t="s" s="11">
        <v>49</v>
      </c>
      <c r="AD100" t="s" s="11">
        <v>50</v>
      </c>
      <c r="AE100" s="13"/>
    </row>
    <row r="101" ht="20.05" customHeight="1">
      <c r="A101" t="str" s="9" cm="1">
        <f t="array" ref="A101">"SLB-122"</f>
        <v>SLB-122</v>
      </c>
      <c r="B101" t="s" s="10">
        <v>52</v>
      </c>
      <c r="C101" t="s" s="11">
        <v>34</v>
      </c>
      <c r="D101" t="s" s="11">
        <v>116</v>
      </c>
      <c r="E101" t="s" s="11">
        <v>117</v>
      </c>
      <c r="F101" s="12">
        <v>1686</v>
      </c>
      <c r="G101" t="s" s="11">
        <v>663</v>
      </c>
      <c r="H101" t="s" s="11">
        <v>505</v>
      </c>
      <c r="I101" s="13"/>
      <c r="J101" t="s" s="11">
        <v>39</v>
      </c>
      <c r="K101" s="13"/>
      <c r="L101" s="13"/>
      <c r="M101" t="s" s="11">
        <v>54</v>
      </c>
      <c r="N101" s="13"/>
      <c r="O101" t="s" s="11">
        <v>664</v>
      </c>
      <c r="P101" t="s" s="11">
        <v>665</v>
      </c>
      <c r="Q101" t="s" s="11">
        <v>42</v>
      </c>
      <c r="R101" s="12">
        <v>160</v>
      </c>
      <c r="S101" s="13"/>
      <c r="T101" s="13"/>
      <c r="U101" s="13"/>
      <c r="V101" t="s" s="11">
        <v>43</v>
      </c>
      <c r="W101" t="s" s="11">
        <v>44</v>
      </c>
      <c r="X101" t="s" s="11">
        <v>666</v>
      </c>
      <c r="Y101" t="s" s="11">
        <v>46</v>
      </c>
      <c r="Z101" t="s" s="11">
        <v>667</v>
      </c>
      <c r="AA101" t="s" s="11">
        <v>122</v>
      </c>
      <c r="AB101" t="s" s="11">
        <v>122</v>
      </c>
      <c r="AC101" t="s" s="11">
        <v>49</v>
      </c>
      <c r="AD101" t="s" s="11">
        <v>50</v>
      </c>
      <c r="AE101" s="13"/>
    </row>
    <row r="102" ht="20.05" customHeight="1">
      <c r="A102" t="str" s="9" cm="1">
        <f t="array" ref="A102">"UTZ-526"</f>
        <v>UTZ-526</v>
      </c>
      <c r="B102" t="s" s="10">
        <v>52</v>
      </c>
      <c r="C102" t="s" s="11">
        <v>34</v>
      </c>
      <c r="D102" t="s" s="11">
        <v>116</v>
      </c>
      <c r="E102" t="s" s="11">
        <v>117</v>
      </c>
      <c r="F102" s="12">
        <v>1686</v>
      </c>
      <c r="G102" t="s" s="11">
        <v>669</v>
      </c>
      <c r="H102" t="s" s="11">
        <v>505</v>
      </c>
      <c r="I102" s="13"/>
      <c r="J102" t="s" s="11">
        <v>39</v>
      </c>
      <c r="K102" s="13"/>
      <c r="L102" s="13"/>
      <c r="M102" t="s" s="11">
        <v>54</v>
      </c>
      <c r="N102" s="13"/>
      <c r="O102" t="s" s="11">
        <v>670</v>
      </c>
      <c r="P102" t="s" s="11">
        <v>671</v>
      </c>
      <c r="Q102" t="s" s="11">
        <v>42</v>
      </c>
      <c r="R102" s="12">
        <v>160</v>
      </c>
      <c r="S102" s="13"/>
      <c r="T102" s="13"/>
      <c r="U102" s="13"/>
      <c r="V102" t="s" s="11">
        <v>43</v>
      </c>
      <c r="W102" t="s" s="11">
        <v>44</v>
      </c>
      <c r="X102" t="s" s="11">
        <v>672</v>
      </c>
      <c r="Y102" t="s" s="11">
        <v>46</v>
      </c>
      <c r="Z102" t="s" s="11">
        <v>673</v>
      </c>
      <c r="AA102" t="s" s="11">
        <v>122</v>
      </c>
      <c r="AB102" t="s" s="11">
        <v>122</v>
      </c>
      <c r="AC102" t="s" s="11">
        <v>49</v>
      </c>
      <c r="AD102" t="s" s="11">
        <v>50</v>
      </c>
      <c r="AE102" s="13"/>
    </row>
    <row r="103" ht="20.05" customHeight="1">
      <c r="A103" t="str" s="9" cm="1">
        <f t="array" ref="A103">"VPZ-479"</f>
        <v>VPZ-479</v>
      </c>
      <c r="B103" t="s" s="10">
        <v>52</v>
      </c>
      <c r="C103" t="s" s="11">
        <v>34</v>
      </c>
      <c r="D103" t="s" s="11">
        <v>116</v>
      </c>
      <c r="E103" t="s" s="11">
        <v>117</v>
      </c>
      <c r="F103" s="12">
        <v>1686</v>
      </c>
      <c r="G103" t="s" s="11">
        <v>675</v>
      </c>
      <c r="H103" t="s" s="11">
        <v>505</v>
      </c>
      <c r="I103" s="13"/>
      <c r="J103" t="s" s="11">
        <v>39</v>
      </c>
      <c r="K103" s="13"/>
      <c r="L103" s="13"/>
      <c r="M103" t="s" s="11">
        <v>54</v>
      </c>
      <c r="N103" s="13"/>
      <c r="O103" t="s" s="11">
        <v>676</v>
      </c>
      <c r="P103" t="s" s="11">
        <v>594</v>
      </c>
      <c r="Q103" t="s" s="11">
        <v>42</v>
      </c>
      <c r="R103" s="12">
        <v>160</v>
      </c>
      <c r="S103" s="13"/>
      <c r="T103" s="13"/>
      <c r="U103" s="13"/>
      <c r="V103" t="s" s="11">
        <v>43</v>
      </c>
      <c r="W103" t="s" s="11">
        <v>44</v>
      </c>
      <c r="X103" t="s" s="11">
        <v>677</v>
      </c>
      <c r="Y103" t="s" s="11">
        <v>46</v>
      </c>
      <c r="Z103" t="s" s="11">
        <v>678</v>
      </c>
      <c r="AA103" t="s" s="11">
        <v>122</v>
      </c>
      <c r="AB103" t="s" s="11">
        <v>122</v>
      </c>
      <c r="AC103" t="s" s="11">
        <v>49</v>
      </c>
      <c r="AD103" t="s" s="11">
        <v>50</v>
      </c>
      <c r="AE103" s="13"/>
    </row>
    <row r="104" ht="20.05" customHeight="1">
      <c r="A104" t="str" s="9" cm="1">
        <f t="array" ref="A104">"LSZ-566"</f>
        <v>LSZ-566</v>
      </c>
      <c r="B104" t="s" s="10">
        <v>52</v>
      </c>
      <c r="C104" t="s" s="11">
        <v>34</v>
      </c>
      <c r="D104" t="s" s="11">
        <v>116</v>
      </c>
      <c r="E104" t="s" s="11">
        <v>117</v>
      </c>
      <c r="F104" s="12">
        <v>1686</v>
      </c>
      <c r="G104" t="s" s="11">
        <v>680</v>
      </c>
      <c r="H104" t="s" s="11">
        <v>505</v>
      </c>
      <c r="I104" s="13"/>
      <c r="J104" t="s" s="11">
        <v>39</v>
      </c>
      <c r="K104" s="13"/>
      <c r="L104" s="13"/>
      <c r="M104" t="s" s="11">
        <v>681</v>
      </c>
      <c r="N104" s="13"/>
      <c r="O104" t="s" s="11">
        <v>682</v>
      </c>
      <c r="P104" t="s" s="11">
        <v>683</v>
      </c>
      <c r="Q104" t="s" s="11">
        <v>42</v>
      </c>
      <c r="R104" s="12">
        <v>160</v>
      </c>
      <c r="S104" s="13"/>
      <c r="T104" s="13"/>
      <c r="U104" s="13"/>
      <c r="V104" t="s" s="11">
        <v>43</v>
      </c>
      <c r="W104" t="s" s="11">
        <v>44</v>
      </c>
      <c r="X104" t="s" s="11">
        <v>576</v>
      </c>
      <c r="Y104" t="s" s="11">
        <v>46</v>
      </c>
      <c r="Z104" t="s" s="11">
        <v>682</v>
      </c>
      <c r="AA104" t="s" s="11">
        <v>684</v>
      </c>
      <c r="AB104" t="s" s="11">
        <v>684</v>
      </c>
      <c r="AC104" t="s" s="11">
        <v>49</v>
      </c>
      <c r="AD104" t="s" s="11">
        <v>50</v>
      </c>
      <c r="AE104" s="13"/>
    </row>
    <row r="105" ht="20.05" customHeight="1">
      <c r="A105" t="str" s="9" cm="1">
        <f t="array" ref="A105">"MLH-326"</f>
        <v>MLH-326</v>
      </c>
      <c r="B105" t="s" s="10">
        <v>52</v>
      </c>
      <c r="C105" t="s" s="11">
        <v>34</v>
      </c>
      <c r="D105" t="s" s="11">
        <v>116</v>
      </c>
      <c r="E105" t="s" s="11">
        <v>117</v>
      </c>
      <c r="F105" s="12">
        <v>1686</v>
      </c>
      <c r="G105" t="s" s="11">
        <v>686</v>
      </c>
      <c r="H105" t="s" s="11">
        <v>505</v>
      </c>
      <c r="I105" s="13"/>
      <c r="J105" t="s" s="11">
        <v>39</v>
      </c>
      <c r="K105" s="13"/>
      <c r="L105" s="13"/>
      <c r="M105" t="s" s="11">
        <v>681</v>
      </c>
      <c r="N105" s="13"/>
      <c r="O105" t="s" s="11">
        <v>687</v>
      </c>
      <c r="P105" t="s" s="11">
        <v>688</v>
      </c>
      <c r="Q105" t="s" s="11">
        <v>42</v>
      </c>
      <c r="R105" s="12">
        <v>160</v>
      </c>
      <c r="S105" s="13"/>
      <c r="T105" s="13"/>
      <c r="U105" s="13"/>
      <c r="V105" t="s" s="11">
        <v>43</v>
      </c>
      <c r="W105" t="s" s="11">
        <v>44</v>
      </c>
      <c r="X105" t="s" s="11">
        <v>689</v>
      </c>
      <c r="Y105" t="s" s="11">
        <v>46</v>
      </c>
      <c r="Z105" t="s" s="11">
        <v>689</v>
      </c>
      <c r="AA105" t="s" s="11">
        <v>684</v>
      </c>
      <c r="AB105" t="s" s="11">
        <v>684</v>
      </c>
      <c r="AC105" t="s" s="11">
        <v>49</v>
      </c>
      <c r="AD105" t="s" s="11">
        <v>50</v>
      </c>
      <c r="AE105" s="13"/>
    </row>
    <row r="106" ht="20.05" customHeight="1">
      <c r="A106" t="str" s="9" cm="1">
        <f t="array" ref="A106">"MLH-354"</f>
        <v>MLH-354</v>
      </c>
      <c r="B106" t="s" s="10">
        <v>52</v>
      </c>
      <c r="C106" t="s" s="11">
        <v>34</v>
      </c>
      <c r="D106" t="s" s="11">
        <v>116</v>
      </c>
      <c r="E106" t="s" s="11">
        <v>117</v>
      </c>
      <c r="F106" s="12">
        <v>1686</v>
      </c>
      <c r="G106" t="s" s="11">
        <v>691</v>
      </c>
      <c r="H106" t="s" s="11">
        <v>505</v>
      </c>
      <c r="I106" s="13"/>
      <c r="J106" t="s" s="11">
        <v>39</v>
      </c>
      <c r="K106" s="13"/>
      <c r="L106" s="13"/>
      <c r="M106" t="s" s="11">
        <v>681</v>
      </c>
      <c r="N106" s="13"/>
      <c r="O106" t="s" s="11">
        <v>692</v>
      </c>
      <c r="P106" t="s" s="11">
        <v>486</v>
      </c>
      <c r="Q106" t="s" s="11">
        <v>42</v>
      </c>
      <c r="R106" s="12">
        <v>160</v>
      </c>
      <c r="S106" s="13"/>
      <c r="T106" s="13"/>
      <c r="U106" s="13"/>
      <c r="V106" t="s" s="11">
        <v>43</v>
      </c>
      <c r="W106" t="s" s="11">
        <v>44</v>
      </c>
      <c r="X106" t="s" s="11">
        <v>693</v>
      </c>
      <c r="Y106" t="s" s="11">
        <v>46</v>
      </c>
      <c r="Z106" t="s" s="11">
        <v>694</v>
      </c>
      <c r="AA106" t="s" s="11">
        <v>695</v>
      </c>
      <c r="AB106" t="s" s="11">
        <v>695</v>
      </c>
      <c r="AC106" t="s" s="11">
        <v>49</v>
      </c>
      <c r="AD106" t="s" s="11">
        <v>50</v>
      </c>
      <c r="AE106" s="13"/>
    </row>
    <row r="107" ht="20.05" customHeight="1">
      <c r="A107" t="str" s="9" cm="1">
        <f t="array" ref="A107">"MOH-171"</f>
        <v>MOH-171</v>
      </c>
      <c r="B107" t="s" s="10">
        <v>52</v>
      </c>
      <c r="C107" t="s" s="11">
        <v>549</v>
      </c>
      <c r="D107" t="s" s="11">
        <v>116</v>
      </c>
      <c r="E107" t="s" s="11">
        <v>117</v>
      </c>
      <c r="F107" s="12">
        <v>1686</v>
      </c>
      <c r="G107" t="s" s="11">
        <v>697</v>
      </c>
      <c r="H107" t="s" s="11">
        <v>505</v>
      </c>
      <c r="I107" s="13"/>
      <c r="J107" t="s" s="11">
        <v>39</v>
      </c>
      <c r="K107" s="13"/>
      <c r="L107" s="13"/>
      <c r="M107" t="s" s="11">
        <v>54</v>
      </c>
      <c r="N107" s="13"/>
      <c r="O107" t="s" s="11">
        <v>698</v>
      </c>
      <c r="P107" t="s" s="11">
        <v>699</v>
      </c>
      <c r="Q107" t="s" s="11">
        <v>42</v>
      </c>
      <c r="R107" s="12">
        <v>160</v>
      </c>
      <c r="S107" s="13"/>
      <c r="T107" s="13"/>
      <c r="U107" s="13"/>
      <c r="V107" t="s" s="11">
        <v>43</v>
      </c>
      <c r="W107" t="s" s="11">
        <v>44</v>
      </c>
      <c r="X107" t="s" s="11">
        <v>700</v>
      </c>
      <c r="Y107" t="s" s="11">
        <v>46</v>
      </c>
      <c r="Z107" t="s" s="11">
        <v>701</v>
      </c>
      <c r="AA107" t="s" s="11">
        <v>700</v>
      </c>
      <c r="AB107" t="s" s="11">
        <v>702</v>
      </c>
      <c r="AC107" t="s" s="11">
        <v>49</v>
      </c>
      <c r="AD107" t="s" s="11">
        <v>50</v>
      </c>
      <c r="AE107" s="13"/>
    </row>
    <row r="108" ht="20.05" customHeight="1">
      <c r="A108" t="str" s="9" cm="1">
        <f t="array" ref="A108">"VEZ-174"</f>
        <v>VEZ-174</v>
      </c>
      <c r="B108" t="s" s="10">
        <v>52</v>
      </c>
      <c r="C108" t="s" s="11">
        <v>598</v>
      </c>
      <c r="D108" t="s" s="11">
        <v>124</v>
      </c>
      <c r="E108" t="s" s="11">
        <v>704</v>
      </c>
      <c r="F108" s="12">
        <v>2999</v>
      </c>
      <c r="G108" t="s" s="11">
        <v>705</v>
      </c>
      <c r="H108" t="s" s="11">
        <v>505</v>
      </c>
      <c r="I108" s="13"/>
      <c r="J108" t="s" s="11">
        <v>39</v>
      </c>
      <c r="K108" s="13"/>
      <c r="L108" s="13"/>
      <c r="M108" t="s" s="11">
        <v>54</v>
      </c>
      <c r="N108" s="13"/>
      <c r="O108" t="s" s="11">
        <v>706</v>
      </c>
      <c r="P108" t="s" s="11">
        <v>707</v>
      </c>
      <c r="Q108" t="s" s="11">
        <v>42</v>
      </c>
      <c r="R108" s="13"/>
      <c r="S108" s="13"/>
      <c r="T108" s="13"/>
      <c r="U108" s="13"/>
      <c r="V108" t="s" s="11">
        <v>43</v>
      </c>
      <c r="W108" t="s" s="11">
        <v>111</v>
      </c>
      <c r="X108" t="s" s="11">
        <v>708</v>
      </c>
      <c r="Y108" t="s" s="11">
        <v>46</v>
      </c>
      <c r="Z108" t="s" s="11">
        <v>709</v>
      </c>
      <c r="AA108" t="s" s="11">
        <v>710</v>
      </c>
      <c r="AB108" t="s" s="11">
        <v>711</v>
      </c>
      <c r="AC108" t="s" s="11">
        <v>49</v>
      </c>
      <c r="AD108" t="s" s="11">
        <v>50</v>
      </c>
      <c r="AE108" s="13"/>
    </row>
    <row r="109" ht="20.05" customHeight="1">
      <c r="A109" t="str" s="9" cm="1">
        <f t="array" ref="A109">"EML-279"</f>
        <v>EML-279</v>
      </c>
      <c r="B109" t="s" s="10">
        <v>33</v>
      </c>
      <c r="C109" t="s" s="11">
        <v>34</v>
      </c>
      <c r="D109" t="s" s="11">
        <v>124</v>
      </c>
      <c r="E109" t="s" s="11">
        <v>125</v>
      </c>
      <c r="F109" s="12">
        <v>1560</v>
      </c>
      <c r="G109" t="s" s="11">
        <v>713</v>
      </c>
      <c r="H109" t="s" s="11">
        <v>505</v>
      </c>
      <c r="I109" s="13"/>
      <c r="J109" t="s" s="11">
        <v>39</v>
      </c>
      <c r="K109" s="13"/>
      <c r="L109" s="13"/>
      <c r="M109" s="13"/>
      <c r="N109" s="13"/>
      <c r="O109" t="s" s="11">
        <v>714</v>
      </c>
      <c r="P109" t="s" s="11">
        <v>715</v>
      </c>
      <c r="Q109" t="s" s="11">
        <v>42</v>
      </c>
      <c r="R109" s="12">
        <v>122</v>
      </c>
      <c r="S109" s="13"/>
      <c r="T109" s="13"/>
      <c r="U109" s="13"/>
      <c r="V109" t="s" s="11">
        <v>43</v>
      </c>
      <c r="W109" t="s" s="11">
        <v>44</v>
      </c>
      <c r="X109" t="s" s="11">
        <v>466</v>
      </c>
      <c r="Y109" t="s" s="11">
        <v>46</v>
      </c>
      <c r="Z109" t="s" s="11">
        <v>716</v>
      </c>
      <c r="AA109" t="s" s="11">
        <v>130</v>
      </c>
      <c r="AB109" t="s" s="11">
        <v>130</v>
      </c>
      <c r="AC109" t="s" s="11">
        <v>49</v>
      </c>
      <c r="AD109" t="s" s="11">
        <v>50</v>
      </c>
      <c r="AE109" s="13"/>
    </row>
    <row r="110" ht="20.05" customHeight="1">
      <c r="A110" t="str" s="9" cm="1">
        <f t="array" ref="A110">"GOZ-338"</f>
        <v>GOZ-338</v>
      </c>
      <c r="B110" t="s" s="10">
        <v>33</v>
      </c>
      <c r="C110" t="s" s="11">
        <v>34</v>
      </c>
      <c r="D110" t="s" s="11">
        <v>132</v>
      </c>
      <c r="E110" t="s" s="11">
        <v>718</v>
      </c>
      <c r="F110" s="12">
        <v>1197</v>
      </c>
      <c r="G110" t="s" s="11">
        <v>719</v>
      </c>
      <c r="H110" t="s" s="11">
        <v>505</v>
      </c>
      <c r="I110" s="13"/>
      <c r="J110" t="s" s="11">
        <v>39</v>
      </c>
      <c r="K110" s="13"/>
      <c r="L110" s="13"/>
      <c r="M110" t="s" s="11">
        <v>69</v>
      </c>
      <c r="N110" s="13"/>
      <c r="O110" t="s" s="11">
        <v>720</v>
      </c>
      <c r="P110" t="s" s="11">
        <v>405</v>
      </c>
      <c r="Q110" t="s" s="11">
        <v>42</v>
      </c>
      <c r="R110" s="12">
        <v>144</v>
      </c>
      <c r="S110" s="13"/>
      <c r="T110" s="13"/>
      <c r="U110" s="13"/>
      <c r="V110" t="s" s="11">
        <v>146</v>
      </c>
      <c r="W110" t="s" s="11">
        <v>44</v>
      </c>
      <c r="X110" t="s" s="11">
        <v>595</v>
      </c>
      <c r="Y110" t="s" s="11">
        <v>46</v>
      </c>
      <c r="Z110" t="s" s="11">
        <v>121</v>
      </c>
      <c r="AA110" t="s" s="11">
        <v>595</v>
      </c>
      <c r="AB110" t="s" s="11">
        <v>721</v>
      </c>
      <c r="AC110" t="s" s="11">
        <v>114</v>
      </c>
      <c r="AD110" t="s" s="11">
        <v>50</v>
      </c>
      <c r="AE110" s="13"/>
    </row>
    <row r="111" ht="20.05" customHeight="1">
      <c r="A111" t="str" s="9" cm="1">
        <f t="array" ref="A111">"GOZ-336"</f>
        <v>GOZ-336</v>
      </c>
      <c r="B111" t="s" s="10">
        <v>33</v>
      </c>
      <c r="C111" t="s" s="11">
        <v>34</v>
      </c>
      <c r="D111" t="s" s="11">
        <v>132</v>
      </c>
      <c r="E111" t="s" s="11">
        <v>718</v>
      </c>
      <c r="F111" s="12">
        <v>1598</v>
      </c>
      <c r="G111" t="s" s="11">
        <v>723</v>
      </c>
      <c r="H111" t="s" s="11">
        <v>505</v>
      </c>
      <c r="I111" s="13"/>
      <c r="J111" t="s" s="11">
        <v>39</v>
      </c>
      <c r="K111" s="13"/>
      <c r="L111" s="13"/>
      <c r="M111" t="s" s="11">
        <v>69</v>
      </c>
      <c r="N111" s="13"/>
      <c r="O111" t="s" s="11">
        <v>720</v>
      </c>
      <c r="P111" t="s" s="11">
        <v>724</v>
      </c>
      <c r="Q111" t="s" s="11">
        <v>42</v>
      </c>
      <c r="R111" s="12">
        <v>190</v>
      </c>
      <c r="S111" s="13"/>
      <c r="T111" s="13"/>
      <c r="U111" s="13"/>
      <c r="V111" t="s" s="11">
        <v>146</v>
      </c>
      <c r="W111" t="s" s="11">
        <v>44</v>
      </c>
      <c r="X111" t="s" s="11">
        <v>595</v>
      </c>
      <c r="Y111" t="s" s="11">
        <v>46</v>
      </c>
      <c r="Z111" t="s" s="11">
        <v>121</v>
      </c>
      <c r="AA111" t="s" s="11">
        <v>595</v>
      </c>
      <c r="AB111" t="s" s="11">
        <v>725</v>
      </c>
      <c r="AC111" t="s" s="11">
        <v>49</v>
      </c>
      <c r="AD111" t="s" s="11">
        <v>50</v>
      </c>
      <c r="AE111" s="13"/>
    </row>
    <row r="112" ht="20.05" customHeight="1">
      <c r="A112" t="str" s="9" cm="1">
        <f t="array" ref="A112">"GOZ-339"</f>
        <v>GOZ-339</v>
      </c>
      <c r="B112" t="s" s="10">
        <v>33</v>
      </c>
      <c r="C112" t="s" s="11">
        <v>34</v>
      </c>
      <c r="D112" t="s" s="11">
        <v>132</v>
      </c>
      <c r="E112" t="s" s="11">
        <v>457</v>
      </c>
      <c r="F112" s="12">
        <v>1197</v>
      </c>
      <c r="G112" t="s" s="11">
        <v>727</v>
      </c>
      <c r="H112" t="s" s="11">
        <v>505</v>
      </c>
      <c r="I112" s="13"/>
      <c r="J112" t="s" s="11">
        <v>39</v>
      </c>
      <c r="K112" s="13"/>
      <c r="L112" s="13"/>
      <c r="M112" t="s" s="11">
        <v>728</v>
      </c>
      <c r="N112" s="13"/>
      <c r="O112" t="s" s="11">
        <v>729</v>
      </c>
      <c r="P112" t="s" s="11">
        <v>730</v>
      </c>
      <c r="Q112" t="s" s="11">
        <v>42</v>
      </c>
      <c r="R112" s="12">
        <v>144</v>
      </c>
      <c r="S112" s="13"/>
      <c r="T112" s="13"/>
      <c r="U112" s="13"/>
      <c r="V112" t="s" s="11">
        <v>146</v>
      </c>
      <c r="W112" t="s" s="11">
        <v>44</v>
      </c>
      <c r="X112" t="s" s="11">
        <v>595</v>
      </c>
      <c r="Y112" t="s" s="11">
        <v>46</v>
      </c>
      <c r="Z112" t="s" s="11">
        <v>121</v>
      </c>
      <c r="AA112" t="s" s="11">
        <v>595</v>
      </c>
      <c r="AB112" t="s" s="11">
        <v>731</v>
      </c>
      <c r="AC112" t="s" s="11">
        <v>114</v>
      </c>
      <c r="AD112" t="s" s="11">
        <v>50</v>
      </c>
      <c r="AE112" s="13"/>
    </row>
    <row r="113" ht="20.05" customHeight="1">
      <c r="A113" t="str" s="9" cm="1">
        <f t="array" ref="A113">"GOZ-337"</f>
        <v>GOZ-337</v>
      </c>
      <c r="B113" t="s" s="10">
        <v>33</v>
      </c>
      <c r="C113" t="s" s="11">
        <v>34</v>
      </c>
      <c r="D113" t="s" s="11">
        <v>132</v>
      </c>
      <c r="E113" t="s" s="11">
        <v>733</v>
      </c>
      <c r="F113" s="12">
        <v>1197</v>
      </c>
      <c r="G113" t="s" s="11">
        <v>734</v>
      </c>
      <c r="H113" t="s" s="11">
        <v>505</v>
      </c>
      <c r="I113" s="13"/>
      <c r="J113" t="s" s="11">
        <v>39</v>
      </c>
      <c r="K113" s="13"/>
      <c r="L113" s="13"/>
      <c r="M113" t="s" s="11">
        <v>728</v>
      </c>
      <c r="N113" s="13"/>
      <c r="O113" t="s" s="11">
        <v>735</v>
      </c>
      <c r="P113" t="s" s="11">
        <v>315</v>
      </c>
      <c r="Q113" t="s" s="11">
        <v>42</v>
      </c>
      <c r="R113" s="12">
        <v>144</v>
      </c>
      <c r="S113" s="13"/>
      <c r="T113" s="13"/>
      <c r="U113" s="13"/>
      <c r="V113" t="s" s="11">
        <v>146</v>
      </c>
      <c r="W113" t="s" s="11">
        <v>44</v>
      </c>
      <c r="X113" t="s" s="11">
        <v>595</v>
      </c>
      <c r="Y113" t="s" s="11">
        <v>46</v>
      </c>
      <c r="Z113" t="s" s="11">
        <v>121</v>
      </c>
      <c r="AA113" t="s" s="11">
        <v>595</v>
      </c>
      <c r="AB113" t="s" s="11">
        <v>736</v>
      </c>
      <c r="AC113" t="s" s="11">
        <v>114</v>
      </c>
      <c r="AD113" t="s" s="11">
        <v>50</v>
      </c>
      <c r="AE113" s="13"/>
    </row>
    <row r="114" ht="20.05" customHeight="1">
      <c r="A114" t="str" s="9" cm="1">
        <f t="array" ref="A114">"ENY-134"</f>
        <v>ENY-134</v>
      </c>
      <c r="B114" t="s" s="10">
        <v>33</v>
      </c>
      <c r="C114" t="s" s="11">
        <v>34</v>
      </c>
      <c r="D114" t="s" s="11">
        <v>141</v>
      </c>
      <c r="E114" t="s" s="11">
        <v>142</v>
      </c>
      <c r="F114" s="12">
        <v>1197</v>
      </c>
      <c r="G114" t="s" s="11">
        <v>143</v>
      </c>
      <c r="H114" t="s" s="11">
        <v>505</v>
      </c>
      <c r="I114" s="13"/>
      <c r="J114" t="s" s="11">
        <v>39</v>
      </c>
      <c r="K114" s="13"/>
      <c r="L114" t="s" s="11">
        <v>92</v>
      </c>
      <c r="M114" s="13"/>
      <c r="N114" s="13"/>
      <c r="O114" t="s" s="11">
        <v>144</v>
      </c>
      <c r="P114" t="s" s="11">
        <v>145</v>
      </c>
      <c r="Q114" t="s" s="11">
        <v>42</v>
      </c>
      <c r="R114" s="12">
        <v>149</v>
      </c>
      <c r="S114" s="13"/>
      <c r="T114" s="13"/>
      <c r="U114" s="13"/>
      <c r="V114" t="s" s="11">
        <v>146</v>
      </c>
      <c r="W114" t="s" s="11">
        <v>44</v>
      </c>
      <c r="X114" t="s" s="11">
        <v>95</v>
      </c>
      <c r="Y114" t="s" s="11">
        <v>46</v>
      </c>
      <c r="Z114" t="s" s="11">
        <v>95</v>
      </c>
      <c r="AA114" t="s" s="11">
        <v>147</v>
      </c>
      <c r="AB114" t="s" s="11">
        <v>147</v>
      </c>
      <c r="AC114" t="s" s="11">
        <v>49</v>
      </c>
      <c r="AD114" t="s" s="11">
        <v>50</v>
      </c>
      <c r="AE114" s="13"/>
    </row>
    <row r="115" ht="20.05" customHeight="1">
      <c r="A115" t="str" s="9" cm="1">
        <f t="array" ref="A115">"XXY-383"</f>
        <v>XXY-383</v>
      </c>
      <c r="B115" t="s" s="10">
        <v>33</v>
      </c>
      <c r="C115" t="s" s="11">
        <v>34</v>
      </c>
      <c r="D115" t="s" s="11">
        <v>141</v>
      </c>
      <c r="E115" t="s" s="11">
        <v>142</v>
      </c>
      <c r="F115" s="12">
        <v>1197</v>
      </c>
      <c r="G115" t="s" s="11">
        <v>738</v>
      </c>
      <c r="H115" t="s" s="11">
        <v>505</v>
      </c>
      <c r="I115" s="13"/>
      <c r="J115" t="s" s="11">
        <v>39</v>
      </c>
      <c r="K115" s="13"/>
      <c r="L115" s="13"/>
      <c r="M115" s="13"/>
      <c r="N115" s="13"/>
      <c r="O115" t="s" s="11">
        <v>739</v>
      </c>
      <c r="P115" t="s" s="11">
        <v>740</v>
      </c>
      <c r="Q115" t="s" s="11">
        <v>42</v>
      </c>
      <c r="R115" s="12">
        <v>149</v>
      </c>
      <c r="S115" s="13"/>
      <c r="T115" s="13"/>
      <c r="U115" s="13"/>
      <c r="V115" t="s" s="11">
        <v>146</v>
      </c>
      <c r="W115" t="s" s="11">
        <v>44</v>
      </c>
      <c r="X115" t="s" s="11">
        <v>741</v>
      </c>
      <c r="Y115" t="s" s="11">
        <v>46</v>
      </c>
      <c r="Z115" t="s" s="11">
        <v>741</v>
      </c>
      <c r="AA115" t="s" s="11">
        <v>494</v>
      </c>
      <c r="AB115" t="s" s="11">
        <v>494</v>
      </c>
      <c r="AC115" s="13"/>
      <c r="AD115" t="s" s="11">
        <v>50</v>
      </c>
      <c r="AE115" s="13"/>
    </row>
    <row r="116" ht="20.05" customHeight="1">
      <c r="A116" t="str" s="9" cm="1">
        <f t="array" ref="A116">"ETI-680"</f>
        <v>ETI-680</v>
      </c>
      <c r="B116" t="s" s="10">
        <v>52</v>
      </c>
      <c r="C116" t="s" s="11">
        <v>34</v>
      </c>
      <c r="D116" t="s" s="11">
        <v>141</v>
      </c>
      <c r="E116" t="s" s="11">
        <v>142</v>
      </c>
      <c r="F116" s="12">
        <v>1197</v>
      </c>
      <c r="G116" t="s" s="11">
        <v>743</v>
      </c>
      <c r="H116" t="s" s="11">
        <v>505</v>
      </c>
      <c r="I116" s="13"/>
      <c r="J116" t="s" s="11">
        <v>39</v>
      </c>
      <c r="K116" s="13"/>
      <c r="L116" s="13"/>
      <c r="M116" t="s" s="11">
        <v>54</v>
      </c>
      <c r="N116" s="13"/>
      <c r="O116" t="s" s="11">
        <v>744</v>
      </c>
      <c r="P116" t="s" s="11">
        <v>745</v>
      </c>
      <c r="Q116" t="s" s="11">
        <v>42</v>
      </c>
      <c r="R116" s="12">
        <v>149</v>
      </c>
      <c r="S116" s="13"/>
      <c r="T116" s="13"/>
      <c r="U116" s="13"/>
      <c r="V116" t="s" s="11">
        <v>146</v>
      </c>
      <c r="W116" t="s" s="11">
        <v>44</v>
      </c>
      <c r="X116" t="s" s="11">
        <v>746</v>
      </c>
      <c r="Y116" s="13"/>
      <c r="Z116" s="13"/>
      <c r="AA116" t="s" s="11">
        <v>747</v>
      </c>
      <c r="AB116" t="s" s="11">
        <v>747</v>
      </c>
      <c r="AC116" s="13"/>
      <c r="AD116" t="s" s="11">
        <v>50</v>
      </c>
      <c r="AE116" s="13"/>
    </row>
    <row r="117" ht="20.05" customHeight="1">
      <c r="A117" t="str" s="9" cm="1">
        <f t="array" ref="A117">"CIX-434"</f>
        <v>CIX-434</v>
      </c>
      <c r="B117" t="s" s="10">
        <v>52</v>
      </c>
      <c r="C117" t="s" s="11">
        <v>34</v>
      </c>
      <c r="D117" t="s" s="11">
        <v>141</v>
      </c>
      <c r="E117" t="s" s="11">
        <v>142</v>
      </c>
      <c r="F117" s="12">
        <v>1197</v>
      </c>
      <c r="G117" t="s" s="11">
        <v>749</v>
      </c>
      <c r="H117" t="s" s="11">
        <v>505</v>
      </c>
      <c r="I117" s="13"/>
      <c r="J117" t="s" s="11">
        <v>39</v>
      </c>
      <c r="K117" s="13"/>
      <c r="L117" s="13"/>
      <c r="M117" t="s" s="11">
        <v>54</v>
      </c>
      <c r="N117" s="13"/>
      <c r="O117" t="s" s="11">
        <v>750</v>
      </c>
      <c r="P117" t="s" s="11">
        <v>692</v>
      </c>
      <c r="Q117" t="s" s="11">
        <v>42</v>
      </c>
      <c r="R117" s="12">
        <v>149</v>
      </c>
      <c r="S117" s="13"/>
      <c r="T117" s="13"/>
      <c r="U117" s="13"/>
      <c r="V117" t="s" s="11">
        <v>146</v>
      </c>
      <c r="W117" t="s" s="11">
        <v>44</v>
      </c>
      <c r="X117" t="s" s="11">
        <v>751</v>
      </c>
      <c r="Y117" s="13"/>
      <c r="Z117" s="13"/>
      <c r="AA117" t="s" s="11">
        <v>752</v>
      </c>
      <c r="AB117" t="s" s="11">
        <v>752</v>
      </c>
      <c r="AC117" t="s" s="11">
        <v>49</v>
      </c>
      <c r="AD117" t="s" s="11">
        <v>50</v>
      </c>
      <c r="AE117" s="13"/>
    </row>
    <row r="118" ht="20.05" customHeight="1">
      <c r="A118" t="str" s="9" cm="1">
        <f t="array" ref="A118">"SKI-501"</f>
        <v>SKI-501</v>
      </c>
      <c r="B118" t="s" s="10">
        <v>33</v>
      </c>
      <c r="C118" t="s" s="11">
        <v>549</v>
      </c>
      <c r="D118" t="s" s="11">
        <v>754</v>
      </c>
      <c r="E118" t="s" s="11">
        <v>755</v>
      </c>
      <c r="F118" s="12">
        <v>2730</v>
      </c>
      <c r="G118" t="s" s="11">
        <v>756</v>
      </c>
      <c r="H118" t="s" s="11">
        <v>505</v>
      </c>
      <c r="I118" s="13"/>
      <c r="J118" t="s" s="11">
        <v>39</v>
      </c>
      <c r="K118" s="13"/>
      <c r="L118" t="s" s="11">
        <v>757</v>
      </c>
      <c r="M118" s="13"/>
      <c r="N118" s="13"/>
      <c r="O118" t="s" s="11">
        <v>45</v>
      </c>
      <c r="P118" t="s" s="11">
        <v>758</v>
      </c>
      <c r="Q118" t="s" s="11">
        <v>42</v>
      </c>
      <c r="R118" s="12">
        <v>282</v>
      </c>
      <c r="S118" s="13"/>
      <c r="T118" s="13"/>
      <c r="U118" s="13"/>
      <c r="V118" t="s" s="11">
        <v>146</v>
      </c>
      <c r="W118" t="s" s="11">
        <v>44</v>
      </c>
      <c r="X118" t="s" s="11">
        <v>759</v>
      </c>
      <c r="Y118" t="s" s="11">
        <v>760</v>
      </c>
      <c r="Z118" t="s" s="11">
        <v>520</v>
      </c>
      <c r="AA118" t="s" s="11">
        <v>761</v>
      </c>
      <c r="AB118" t="s" s="11">
        <v>761</v>
      </c>
      <c r="AC118" s="13"/>
      <c r="AD118" t="s" s="11">
        <v>50</v>
      </c>
      <c r="AE118" s="13"/>
    </row>
    <row r="119" ht="20.05" customHeight="1">
      <c r="A119" t="str" s="9" cm="1">
        <f t="array" ref="A119">"TYV-247"</f>
        <v>TYV-247</v>
      </c>
      <c r="B119" t="s" s="10">
        <v>52</v>
      </c>
      <c r="C119" t="s" s="11">
        <v>34</v>
      </c>
      <c r="D119" t="s" s="11">
        <v>149</v>
      </c>
      <c r="E119" t="s" s="11">
        <v>150</v>
      </c>
      <c r="F119" s="12">
        <v>2460</v>
      </c>
      <c r="G119" t="s" s="11">
        <v>763</v>
      </c>
      <c r="H119" t="s" s="11">
        <v>505</v>
      </c>
      <c r="I119" s="13"/>
      <c r="J119" t="s" s="11">
        <v>39</v>
      </c>
      <c r="K119" s="13"/>
      <c r="L119" s="13"/>
      <c r="M119" t="s" s="11">
        <v>100</v>
      </c>
      <c r="N119" s="13"/>
      <c r="O119" t="s" s="11">
        <v>153</v>
      </c>
      <c r="P119" t="s" s="11">
        <v>764</v>
      </c>
      <c r="Q119" t="s" s="11">
        <v>42</v>
      </c>
      <c r="R119" s="13"/>
      <c r="S119" s="13"/>
      <c r="T119" s="13"/>
      <c r="U119" s="13"/>
      <c r="V119" t="s" s="11">
        <v>43</v>
      </c>
      <c r="W119" t="s" s="11">
        <v>44</v>
      </c>
      <c r="X119" t="s" s="11">
        <v>765</v>
      </c>
      <c r="Y119" t="s" s="11">
        <v>46</v>
      </c>
      <c r="Z119" t="s" s="11">
        <v>766</v>
      </c>
      <c r="AA119" t="s" s="11">
        <v>767</v>
      </c>
      <c r="AB119" t="s" s="11">
        <v>767</v>
      </c>
      <c r="AC119" s="13"/>
      <c r="AD119" t="s" s="11">
        <v>50</v>
      </c>
      <c r="AE119" s="13"/>
    </row>
    <row r="120" ht="20.05" customHeight="1">
      <c r="A120" t="str" s="9" cm="1">
        <f t="array" ref="A120">"UMY-968"</f>
        <v>UMY-968</v>
      </c>
      <c r="B120" t="s" s="10">
        <v>52</v>
      </c>
      <c r="C120" t="s" s="11">
        <v>34</v>
      </c>
      <c r="D120" t="s" s="11">
        <v>149</v>
      </c>
      <c r="E120" t="s" s="11">
        <v>150</v>
      </c>
      <c r="F120" s="12">
        <v>2460</v>
      </c>
      <c r="G120" t="s" s="11">
        <v>769</v>
      </c>
      <c r="H120" t="s" s="11">
        <v>505</v>
      </c>
      <c r="I120" s="13"/>
      <c r="J120" t="s" s="11">
        <v>39</v>
      </c>
      <c r="K120" s="13"/>
      <c r="L120" s="13"/>
      <c r="M120" t="s" s="11">
        <v>100</v>
      </c>
      <c r="N120" s="13"/>
      <c r="O120" t="s" s="11">
        <v>770</v>
      </c>
      <c r="P120" t="s" s="11">
        <v>771</v>
      </c>
      <c r="Q120" t="s" s="11">
        <v>42</v>
      </c>
      <c r="R120" s="13"/>
      <c r="S120" s="13"/>
      <c r="T120" s="13"/>
      <c r="U120" s="13"/>
      <c r="V120" t="s" s="11">
        <v>43</v>
      </c>
      <c r="W120" t="s" s="11">
        <v>44</v>
      </c>
      <c r="X120" t="s" s="11">
        <v>772</v>
      </c>
      <c r="Y120" t="s" s="11">
        <v>46</v>
      </c>
      <c r="Z120" t="s" s="11">
        <v>772</v>
      </c>
      <c r="AA120" t="s" s="11">
        <v>773</v>
      </c>
      <c r="AB120" t="s" s="11">
        <v>773</v>
      </c>
      <c r="AC120" s="13"/>
      <c r="AD120" t="s" s="11">
        <v>50</v>
      </c>
      <c r="AE120" s="13"/>
    </row>
    <row r="121" ht="20.05" customHeight="1">
      <c r="A121" t="str" s="9" cm="1">
        <f t="array" ref="A121">"MUI-805"</f>
        <v>MUI-805</v>
      </c>
      <c r="B121" t="s" s="10">
        <v>52</v>
      </c>
      <c r="C121" t="s" s="11">
        <v>34</v>
      </c>
      <c r="D121" t="s" s="11">
        <v>149</v>
      </c>
      <c r="E121" t="s" s="11">
        <v>165</v>
      </c>
      <c r="F121" s="12">
        <v>1890</v>
      </c>
      <c r="G121" t="s" s="11">
        <v>775</v>
      </c>
      <c r="H121" t="s" s="11">
        <v>505</v>
      </c>
      <c r="I121" s="13"/>
      <c r="J121" t="s" s="11">
        <v>39</v>
      </c>
      <c r="K121" s="13"/>
      <c r="L121" s="13"/>
      <c r="M121" t="s" s="11">
        <v>54</v>
      </c>
      <c r="N121" s="13"/>
      <c r="O121" t="s" s="11">
        <v>776</v>
      </c>
      <c r="P121" t="s" s="11">
        <v>777</v>
      </c>
      <c r="Q121" t="s" s="11">
        <v>42</v>
      </c>
      <c r="R121" s="13"/>
      <c r="S121" s="13"/>
      <c r="T121" s="13"/>
      <c r="U121" s="13"/>
      <c r="V121" t="s" s="11">
        <v>43</v>
      </c>
      <c r="W121" t="s" s="11">
        <v>44</v>
      </c>
      <c r="X121" t="s" s="11">
        <v>664</v>
      </c>
      <c r="Y121" t="s" s="11">
        <v>46</v>
      </c>
      <c r="Z121" t="s" s="11">
        <v>778</v>
      </c>
      <c r="AA121" t="s" s="11">
        <v>779</v>
      </c>
      <c r="AB121" t="s" s="11">
        <v>779</v>
      </c>
      <c r="AC121" s="13"/>
      <c r="AD121" t="s" s="11">
        <v>50</v>
      </c>
      <c r="AE121" s="13"/>
    </row>
    <row r="122" ht="20.05" customHeight="1">
      <c r="A122" t="str" s="9" cm="1">
        <f t="array" ref="A122">"IYT-418"</f>
        <v>IYT-418</v>
      </c>
      <c r="B122" t="s" s="10">
        <v>52</v>
      </c>
      <c r="C122" t="s" s="11">
        <v>34</v>
      </c>
      <c r="D122" t="s" s="11">
        <v>149</v>
      </c>
      <c r="E122" t="s" s="11">
        <v>165</v>
      </c>
      <c r="F122" s="12">
        <v>1896</v>
      </c>
      <c r="G122" t="s" s="11">
        <v>781</v>
      </c>
      <c r="H122" t="s" s="11">
        <v>505</v>
      </c>
      <c r="I122" s="13"/>
      <c r="J122" t="s" s="11">
        <v>39</v>
      </c>
      <c r="K122" s="13"/>
      <c r="L122" s="13"/>
      <c r="M122" t="s" s="11">
        <v>54</v>
      </c>
      <c r="N122" s="13"/>
      <c r="O122" t="s" s="11">
        <v>782</v>
      </c>
      <c r="P122" t="s" s="11">
        <v>783</v>
      </c>
      <c r="Q122" t="s" s="11">
        <v>42</v>
      </c>
      <c r="R122" s="12">
        <v>177</v>
      </c>
      <c r="S122" s="13"/>
      <c r="T122" s="13"/>
      <c r="U122" s="13"/>
      <c r="V122" t="s" s="11">
        <v>43</v>
      </c>
      <c r="W122" t="s" s="11">
        <v>44</v>
      </c>
      <c r="X122" t="s" s="11">
        <v>784</v>
      </c>
      <c r="Y122" t="s" s="11">
        <v>46</v>
      </c>
      <c r="Z122" t="s" s="11">
        <v>784</v>
      </c>
      <c r="AA122" t="s" s="11">
        <v>785</v>
      </c>
      <c r="AB122" t="s" s="11">
        <v>785</v>
      </c>
      <c r="AC122" s="13"/>
      <c r="AD122" t="s" s="11">
        <v>50</v>
      </c>
      <c r="AE122" s="13"/>
    </row>
    <row r="123" ht="20.05" customHeight="1">
      <c r="A123" t="str" s="9" cm="1">
        <f t="array" ref="A123">"XLY-496"</f>
        <v>XLY-496</v>
      </c>
      <c r="B123" t="s" s="10">
        <v>52</v>
      </c>
      <c r="C123" t="s" s="11">
        <v>34</v>
      </c>
      <c r="D123" t="s" s="11">
        <v>149</v>
      </c>
      <c r="E123" t="s" s="11">
        <v>165</v>
      </c>
      <c r="F123" s="12">
        <v>1896</v>
      </c>
      <c r="G123" t="s" s="11">
        <v>787</v>
      </c>
      <c r="H123" t="s" s="11">
        <v>505</v>
      </c>
      <c r="I123" s="13"/>
      <c r="J123" t="s" s="11">
        <v>39</v>
      </c>
      <c r="K123" s="13"/>
      <c r="L123" s="13"/>
      <c r="M123" t="s" s="11">
        <v>54</v>
      </c>
      <c r="N123" s="13"/>
      <c r="O123" t="s" s="11">
        <v>788</v>
      </c>
      <c r="P123" t="s" s="11">
        <v>789</v>
      </c>
      <c r="Q123" t="s" s="11">
        <v>42</v>
      </c>
      <c r="R123" s="12">
        <v>177</v>
      </c>
      <c r="S123" s="13"/>
      <c r="T123" s="13"/>
      <c r="U123" s="13"/>
      <c r="V123" t="s" s="11">
        <v>43</v>
      </c>
      <c r="W123" t="s" s="11">
        <v>44</v>
      </c>
      <c r="X123" t="s" s="11">
        <v>790</v>
      </c>
      <c r="Y123" t="s" s="11">
        <v>46</v>
      </c>
      <c r="Z123" t="s" s="11">
        <v>332</v>
      </c>
      <c r="AA123" t="s" s="11">
        <v>791</v>
      </c>
      <c r="AB123" t="s" s="11">
        <v>791</v>
      </c>
      <c r="AC123" s="13"/>
      <c r="AD123" t="s" s="11">
        <v>50</v>
      </c>
      <c r="AE123" s="13"/>
    </row>
    <row r="124" ht="20.05" customHeight="1">
      <c r="A124" t="str" s="9" cm="1">
        <f t="array" ref="A124">"IXE-834"</f>
        <v>IXE-834</v>
      </c>
      <c r="B124" t="s" s="10">
        <v>33</v>
      </c>
      <c r="C124" t="s" s="11">
        <v>34</v>
      </c>
      <c r="D124" t="s" s="11">
        <v>149</v>
      </c>
      <c r="E124" t="s" s="11">
        <v>165</v>
      </c>
      <c r="F124" s="12">
        <v>1896</v>
      </c>
      <c r="G124" t="s" s="11">
        <v>793</v>
      </c>
      <c r="H124" t="s" s="11">
        <v>505</v>
      </c>
      <c r="I124" s="13"/>
      <c r="J124" t="s" s="11">
        <v>39</v>
      </c>
      <c r="K124" s="13"/>
      <c r="L124" s="13"/>
      <c r="M124" s="13"/>
      <c r="N124" s="13"/>
      <c r="O124" t="s" s="11">
        <v>794</v>
      </c>
      <c r="P124" t="s" s="11">
        <v>795</v>
      </c>
      <c r="Q124" t="s" s="11">
        <v>42</v>
      </c>
      <c r="R124" s="12">
        <v>177</v>
      </c>
      <c r="S124" s="13"/>
      <c r="T124" s="13"/>
      <c r="U124" s="13"/>
      <c r="V124" t="s" s="11">
        <v>43</v>
      </c>
      <c r="W124" t="s" s="11">
        <v>44</v>
      </c>
      <c r="X124" t="s" s="11">
        <v>796</v>
      </c>
      <c r="Y124" t="s" s="11">
        <v>46</v>
      </c>
      <c r="Z124" t="s" s="11">
        <v>797</v>
      </c>
      <c r="AA124" t="s" s="11">
        <v>798</v>
      </c>
      <c r="AB124" t="s" s="11">
        <v>798</v>
      </c>
      <c r="AC124" s="13"/>
      <c r="AD124" t="s" s="11">
        <v>50</v>
      </c>
      <c r="AE124" s="13"/>
    </row>
    <row r="125" ht="20.05" customHeight="1">
      <c r="A125" t="str" s="9" cm="1">
        <f t="array" ref="A125">"ZBZ-422"</f>
        <v>ZBZ-422</v>
      </c>
      <c r="B125" t="s" s="10">
        <v>52</v>
      </c>
      <c r="C125" t="s" s="11">
        <v>34</v>
      </c>
      <c r="D125" t="s" s="11">
        <v>149</v>
      </c>
      <c r="E125" t="s" s="11">
        <v>165</v>
      </c>
      <c r="F125" s="12">
        <v>1896</v>
      </c>
      <c r="G125" t="s" s="11">
        <v>800</v>
      </c>
      <c r="H125" t="s" s="11">
        <v>505</v>
      </c>
      <c r="I125" s="13"/>
      <c r="J125" t="s" s="11">
        <v>39</v>
      </c>
      <c r="K125" s="13"/>
      <c r="L125" s="13"/>
      <c r="M125" t="s" s="11">
        <v>54</v>
      </c>
      <c r="N125" s="13"/>
      <c r="O125" t="s" s="11">
        <v>801</v>
      </c>
      <c r="P125" t="s" s="11">
        <v>802</v>
      </c>
      <c r="Q125" t="s" s="11">
        <v>42</v>
      </c>
      <c r="R125" s="12">
        <v>177</v>
      </c>
      <c r="S125" s="13"/>
      <c r="T125" s="13"/>
      <c r="U125" s="13"/>
      <c r="V125" t="s" s="11">
        <v>43</v>
      </c>
      <c r="W125" t="s" s="11">
        <v>44</v>
      </c>
      <c r="X125" t="s" s="11">
        <v>803</v>
      </c>
      <c r="Y125" s="13"/>
      <c r="Z125" s="13"/>
      <c r="AA125" t="s" s="11">
        <v>804</v>
      </c>
      <c r="AB125" t="s" s="11">
        <v>804</v>
      </c>
      <c r="AC125" s="13"/>
      <c r="AD125" t="s" s="11">
        <v>50</v>
      </c>
      <c r="AE125" s="13"/>
    </row>
    <row r="126" ht="20.05" customHeight="1">
      <c r="A126" t="str" s="9" cm="1">
        <f t="array" ref="A126">"BBZ-113"</f>
        <v>BBZ-113</v>
      </c>
      <c r="B126" t="s" s="10">
        <v>33</v>
      </c>
      <c r="C126" t="s" s="11">
        <v>34</v>
      </c>
      <c r="D126" t="s" s="11">
        <v>149</v>
      </c>
      <c r="E126" t="s" s="11">
        <v>165</v>
      </c>
      <c r="F126" s="12">
        <v>1896</v>
      </c>
      <c r="G126" t="s" s="11">
        <v>806</v>
      </c>
      <c r="H126" t="s" s="11">
        <v>505</v>
      </c>
      <c r="I126" s="13"/>
      <c r="J126" t="s" s="11">
        <v>39</v>
      </c>
      <c r="K126" s="13"/>
      <c r="L126" s="13"/>
      <c r="M126" s="13"/>
      <c r="N126" s="13"/>
      <c r="O126" t="s" s="11">
        <v>807</v>
      </c>
      <c r="P126" t="s" s="11">
        <v>86</v>
      </c>
      <c r="Q126" t="s" s="11">
        <v>42</v>
      </c>
      <c r="R126" s="12">
        <v>177</v>
      </c>
      <c r="S126" s="13"/>
      <c r="T126" s="13"/>
      <c r="U126" s="13"/>
      <c r="V126" t="s" s="11">
        <v>43</v>
      </c>
      <c r="W126" t="s" s="11">
        <v>44</v>
      </c>
      <c r="X126" t="s" s="11">
        <v>808</v>
      </c>
      <c r="Y126" t="s" s="11">
        <v>46</v>
      </c>
      <c r="Z126" t="s" s="11">
        <v>809</v>
      </c>
      <c r="AA126" t="s" s="11">
        <v>810</v>
      </c>
      <c r="AB126" t="s" s="11">
        <v>810</v>
      </c>
      <c r="AC126" s="13"/>
      <c r="AD126" t="s" s="11">
        <v>50</v>
      </c>
      <c r="AE126" s="13"/>
    </row>
    <row r="127" ht="20.05" customHeight="1">
      <c r="A127" t="str" s="9" cm="1">
        <f t="array" ref="A127">"BKZ-114"</f>
        <v>BKZ-114</v>
      </c>
      <c r="B127" t="s" s="10">
        <v>52</v>
      </c>
      <c r="C127" t="s" s="11">
        <v>34</v>
      </c>
      <c r="D127" t="s" s="11">
        <v>149</v>
      </c>
      <c r="E127" t="s" s="11">
        <v>165</v>
      </c>
      <c r="F127" s="12">
        <v>1896</v>
      </c>
      <c r="G127" t="s" s="11">
        <v>812</v>
      </c>
      <c r="H127" t="s" s="11">
        <v>505</v>
      </c>
      <c r="I127" s="13"/>
      <c r="J127" t="s" s="11">
        <v>39</v>
      </c>
      <c r="K127" s="13"/>
      <c r="L127" s="13"/>
      <c r="M127" t="s" s="11">
        <v>54</v>
      </c>
      <c r="N127" s="13"/>
      <c r="O127" t="s" s="11">
        <v>813</v>
      </c>
      <c r="P127" t="s" s="11">
        <v>460</v>
      </c>
      <c r="Q127" t="s" s="11">
        <v>42</v>
      </c>
      <c r="R127" s="12">
        <v>177</v>
      </c>
      <c r="S127" s="13"/>
      <c r="T127" s="13"/>
      <c r="U127" s="13"/>
      <c r="V127" t="s" s="11">
        <v>43</v>
      </c>
      <c r="W127" t="s" s="11">
        <v>44</v>
      </c>
      <c r="X127" t="s" s="11">
        <v>678</v>
      </c>
      <c r="Y127" s="13"/>
      <c r="Z127" s="13"/>
      <c r="AA127" t="s" s="11">
        <v>814</v>
      </c>
      <c r="AB127" t="s" s="11">
        <v>814</v>
      </c>
      <c r="AC127" s="13"/>
      <c r="AD127" t="s" s="11">
        <v>50</v>
      </c>
      <c r="AE127" s="13"/>
    </row>
    <row r="128" ht="20.05" customHeight="1">
      <c r="A128" t="str" s="9" cm="1">
        <f t="array" ref="A128">"BJZ-839"</f>
        <v>BJZ-839</v>
      </c>
      <c r="B128" t="s" s="10">
        <v>33</v>
      </c>
      <c r="C128" t="s" s="11">
        <v>34</v>
      </c>
      <c r="D128" t="s" s="11">
        <v>149</v>
      </c>
      <c r="E128" t="s" s="11">
        <v>165</v>
      </c>
      <c r="F128" s="12">
        <v>1896</v>
      </c>
      <c r="G128" t="s" s="11">
        <v>816</v>
      </c>
      <c r="H128" t="s" s="11">
        <v>505</v>
      </c>
      <c r="I128" s="13"/>
      <c r="J128" t="s" s="11">
        <v>39</v>
      </c>
      <c r="K128" s="13"/>
      <c r="L128" s="13"/>
      <c r="M128" s="13"/>
      <c r="N128" s="13"/>
      <c r="O128" t="s" s="11">
        <v>817</v>
      </c>
      <c r="P128" t="s" s="11">
        <v>818</v>
      </c>
      <c r="Q128" t="s" s="11">
        <v>42</v>
      </c>
      <c r="R128" s="12">
        <v>177</v>
      </c>
      <c r="S128" s="13"/>
      <c r="T128" s="13"/>
      <c r="U128" s="13"/>
      <c r="V128" t="s" s="11">
        <v>43</v>
      </c>
      <c r="W128" t="s" s="11">
        <v>44</v>
      </c>
      <c r="X128" t="s" s="11">
        <v>819</v>
      </c>
      <c r="Y128" t="s" s="11">
        <v>46</v>
      </c>
      <c r="Z128" t="s" s="11">
        <v>332</v>
      </c>
      <c r="AA128" t="s" s="11">
        <v>820</v>
      </c>
      <c r="AB128" t="s" s="11">
        <v>820</v>
      </c>
      <c r="AC128" s="13"/>
      <c r="AD128" t="s" s="11">
        <v>50</v>
      </c>
      <c r="AE128" s="13"/>
    </row>
    <row r="129" ht="20.05" customHeight="1">
      <c r="A129" t="str" s="9" cm="1">
        <f t="array" ref="A129">"BJZ-861"</f>
        <v>BJZ-861</v>
      </c>
      <c r="B129" t="s" s="10">
        <v>52</v>
      </c>
      <c r="C129" t="s" s="11">
        <v>34</v>
      </c>
      <c r="D129" t="s" s="11">
        <v>149</v>
      </c>
      <c r="E129" t="s" s="11">
        <v>165</v>
      </c>
      <c r="F129" s="12">
        <v>1896</v>
      </c>
      <c r="G129" t="s" s="11">
        <v>822</v>
      </c>
      <c r="H129" t="s" s="11">
        <v>505</v>
      </c>
      <c r="I129" s="13"/>
      <c r="J129" t="s" s="11">
        <v>39</v>
      </c>
      <c r="K129" s="13"/>
      <c r="L129" s="13"/>
      <c r="M129" t="s" s="11">
        <v>54</v>
      </c>
      <c r="N129" s="13"/>
      <c r="O129" t="s" s="11">
        <v>823</v>
      </c>
      <c r="P129" t="s" s="11">
        <v>824</v>
      </c>
      <c r="Q129" t="s" s="11">
        <v>42</v>
      </c>
      <c r="R129" s="12">
        <v>177</v>
      </c>
      <c r="S129" s="13"/>
      <c r="T129" s="13"/>
      <c r="U129" s="13"/>
      <c r="V129" t="s" s="11">
        <v>43</v>
      </c>
      <c r="W129" t="s" s="11">
        <v>44</v>
      </c>
      <c r="X129" t="s" s="11">
        <v>825</v>
      </c>
      <c r="Y129" s="13"/>
      <c r="Z129" s="13"/>
      <c r="AA129" t="s" s="11">
        <v>826</v>
      </c>
      <c r="AB129" t="s" s="11">
        <v>826</v>
      </c>
      <c r="AC129" s="13"/>
      <c r="AD129" t="s" s="11">
        <v>50</v>
      </c>
      <c r="AE129" s="13"/>
    </row>
    <row r="130" ht="20.05" customHeight="1">
      <c r="A130" t="str" s="9" cm="1">
        <f t="array" ref="A130">"FJN-432"</f>
        <v>FJN-432</v>
      </c>
      <c r="B130" t="s" s="10">
        <v>52</v>
      </c>
      <c r="C130" t="s" s="11">
        <v>34</v>
      </c>
      <c r="D130" t="s" s="11">
        <v>149</v>
      </c>
      <c r="E130" t="s" s="11">
        <v>828</v>
      </c>
      <c r="F130" s="12">
        <v>1896</v>
      </c>
      <c r="G130" t="s" s="11">
        <v>829</v>
      </c>
      <c r="H130" t="s" s="11">
        <v>505</v>
      </c>
      <c r="I130" s="13"/>
      <c r="J130" t="s" s="11">
        <v>39</v>
      </c>
      <c r="K130" s="13"/>
      <c r="L130" s="13"/>
      <c r="M130" t="s" s="11">
        <v>54</v>
      </c>
      <c r="N130" s="13"/>
      <c r="O130" t="s" s="11">
        <v>830</v>
      </c>
      <c r="P130" t="s" s="11">
        <v>309</v>
      </c>
      <c r="Q130" t="s" s="11">
        <v>42</v>
      </c>
      <c r="R130" s="12">
        <v>174</v>
      </c>
      <c r="S130" s="13"/>
      <c r="T130" s="13"/>
      <c r="U130" s="13"/>
      <c r="V130" t="s" s="11">
        <v>43</v>
      </c>
      <c r="W130" t="s" s="11">
        <v>44</v>
      </c>
      <c r="X130" t="s" s="11">
        <v>831</v>
      </c>
      <c r="Y130" t="s" s="11">
        <v>46</v>
      </c>
      <c r="Z130" t="s" s="11">
        <v>332</v>
      </c>
      <c r="AA130" t="s" s="11">
        <v>832</v>
      </c>
      <c r="AB130" t="s" s="11">
        <v>832</v>
      </c>
      <c r="AC130" s="13"/>
      <c r="AD130" t="s" s="11">
        <v>50</v>
      </c>
      <c r="AE130" s="13"/>
    </row>
    <row r="131" ht="20.05" customHeight="1">
      <c r="A131" t="str" s="9" cm="1">
        <f t="array" ref="A131">"OMZ-339"</f>
        <v>OMZ-339</v>
      </c>
      <c r="B131" t="s" s="10">
        <v>52</v>
      </c>
      <c r="C131" t="s" s="11">
        <v>34</v>
      </c>
      <c r="D131" t="s" s="11">
        <v>149</v>
      </c>
      <c r="E131" t="s" s="11">
        <v>828</v>
      </c>
      <c r="F131" s="12">
        <v>1896</v>
      </c>
      <c r="G131" t="s" s="11">
        <v>834</v>
      </c>
      <c r="H131" t="s" s="11">
        <v>505</v>
      </c>
      <c r="I131" s="13"/>
      <c r="J131" t="s" s="11">
        <v>39</v>
      </c>
      <c r="K131" s="13"/>
      <c r="L131" s="13"/>
      <c r="M131" t="s" s="11">
        <v>835</v>
      </c>
      <c r="N131" s="13"/>
      <c r="O131" t="s" s="11">
        <v>836</v>
      </c>
      <c r="P131" t="s" s="11">
        <v>789</v>
      </c>
      <c r="Q131" t="s" s="11">
        <v>42</v>
      </c>
      <c r="R131" s="12">
        <v>174</v>
      </c>
      <c r="S131" s="13"/>
      <c r="T131" s="13"/>
      <c r="U131" s="13"/>
      <c r="V131" t="s" s="11">
        <v>43</v>
      </c>
      <c r="W131" t="s" s="11">
        <v>44</v>
      </c>
      <c r="X131" t="s" s="11">
        <v>837</v>
      </c>
      <c r="Y131" t="s" s="11">
        <v>46</v>
      </c>
      <c r="Z131" t="s" s="11">
        <v>325</v>
      </c>
      <c r="AA131" t="s" s="11">
        <v>838</v>
      </c>
      <c r="AB131" t="s" s="11">
        <v>838</v>
      </c>
      <c r="AC131" s="13"/>
      <c r="AD131" t="s" s="11">
        <v>50</v>
      </c>
      <c r="AE131" s="13"/>
    </row>
    <row r="132" ht="20.05" customHeight="1">
      <c r="A132" t="str" s="9" cm="1">
        <f t="array" ref="A132">"LYY-814"</f>
        <v>LYY-814</v>
      </c>
      <c r="B132" t="s" s="10">
        <v>52</v>
      </c>
      <c r="C132" t="s" s="11">
        <v>34</v>
      </c>
      <c r="D132" t="s" s="11">
        <v>149</v>
      </c>
      <c r="E132" t="s" s="11">
        <v>828</v>
      </c>
      <c r="F132" s="12">
        <v>1896</v>
      </c>
      <c r="G132" t="s" s="11">
        <v>840</v>
      </c>
      <c r="H132" t="s" s="11">
        <v>505</v>
      </c>
      <c r="I132" s="13"/>
      <c r="J132" t="s" s="11">
        <v>39</v>
      </c>
      <c r="K132" s="13"/>
      <c r="L132" s="13"/>
      <c r="M132" t="s" s="11">
        <v>253</v>
      </c>
      <c r="N132" s="13"/>
      <c r="O132" t="s" s="11">
        <v>466</v>
      </c>
      <c r="P132" t="s" s="11">
        <v>841</v>
      </c>
      <c r="Q132" t="s" s="11">
        <v>42</v>
      </c>
      <c r="R132" s="12">
        <v>174</v>
      </c>
      <c r="S132" s="13"/>
      <c r="T132" s="13"/>
      <c r="U132" s="13"/>
      <c r="V132" t="s" s="11">
        <v>43</v>
      </c>
      <c r="W132" t="s" s="11">
        <v>44</v>
      </c>
      <c r="X132" t="s" s="11">
        <v>842</v>
      </c>
      <c r="Y132" t="s" s="11">
        <v>46</v>
      </c>
      <c r="Z132" t="s" s="11">
        <v>843</v>
      </c>
      <c r="AA132" t="s" s="11">
        <v>844</v>
      </c>
      <c r="AB132" t="s" s="11">
        <v>844</v>
      </c>
      <c r="AC132" s="13"/>
      <c r="AD132" t="s" s="11">
        <v>50</v>
      </c>
      <c r="AE132" s="13"/>
    </row>
    <row r="133" ht="20.05" customHeight="1">
      <c r="A133" t="str" s="9" cm="1">
        <f t="array" ref="A133">"MKH-390"</f>
        <v>MKH-390</v>
      </c>
      <c r="B133" t="s" s="10">
        <v>52</v>
      </c>
      <c r="C133" t="s" s="11">
        <v>34</v>
      </c>
      <c r="D133" t="s" s="11">
        <v>149</v>
      </c>
      <c r="E133" t="s" s="11">
        <v>150</v>
      </c>
      <c r="F133" s="12">
        <v>1968</v>
      </c>
      <c r="G133" t="s" s="11">
        <v>151</v>
      </c>
      <c r="H133" t="s" s="11">
        <v>505</v>
      </c>
      <c r="I133" s="13"/>
      <c r="J133" t="s" s="11">
        <v>39</v>
      </c>
      <c r="K133" s="13"/>
      <c r="L133" t="s" s="11">
        <v>92</v>
      </c>
      <c r="M133" t="s" s="11">
        <v>100</v>
      </c>
      <c r="N133" s="13"/>
      <c r="O133" t="s" s="11">
        <v>152</v>
      </c>
      <c r="P133" t="s" s="11">
        <v>153</v>
      </c>
      <c r="Q133" t="s" s="11">
        <v>42</v>
      </c>
      <c r="R133" s="12">
        <v>211</v>
      </c>
      <c r="S133" s="13"/>
      <c r="T133" s="13"/>
      <c r="U133" s="13"/>
      <c r="V133" t="s" s="11">
        <v>43</v>
      </c>
      <c r="W133" t="s" s="11">
        <v>44</v>
      </c>
      <c r="X133" t="s" s="11">
        <v>95</v>
      </c>
      <c r="Y133" t="s" s="11">
        <v>46</v>
      </c>
      <c r="Z133" t="s" s="11">
        <v>95</v>
      </c>
      <c r="AA133" t="s" s="11">
        <v>154</v>
      </c>
      <c r="AB133" t="s" s="11">
        <v>154</v>
      </c>
      <c r="AC133" s="13"/>
      <c r="AD133" t="s" s="11">
        <v>50</v>
      </c>
      <c r="AE133" s="13"/>
    </row>
    <row r="134" ht="20.05" customHeight="1">
      <c r="A134" t="str" s="9" cm="1">
        <f t="array" ref="A134">"MAZ-660"</f>
        <v>MAZ-660</v>
      </c>
      <c r="B134" t="s" s="10">
        <v>52</v>
      </c>
      <c r="C134" t="s" s="11">
        <v>34</v>
      </c>
      <c r="D134" t="s" s="11">
        <v>149</v>
      </c>
      <c r="E134" t="s" s="11">
        <v>165</v>
      </c>
      <c r="F134" s="12">
        <v>1896</v>
      </c>
      <c r="G134" t="s" s="11">
        <v>846</v>
      </c>
      <c r="H134" t="s" s="11">
        <v>505</v>
      </c>
      <c r="I134" s="13"/>
      <c r="J134" t="s" s="11">
        <v>39</v>
      </c>
      <c r="K134" s="13"/>
      <c r="L134" s="13"/>
      <c r="M134" t="s" s="11">
        <v>253</v>
      </c>
      <c r="N134" s="13"/>
      <c r="O134" t="s" s="11">
        <v>847</v>
      </c>
      <c r="P134" t="s" s="11">
        <v>848</v>
      </c>
      <c r="Q134" t="s" s="11">
        <v>42</v>
      </c>
      <c r="R134" s="12">
        <v>174</v>
      </c>
      <c r="S134" s="13"/>
      <c r="T134" s="13"/>
      <c r="U134" s="13"/>
      <c r="V134" t="s" s="11">
        <v>43</v>
      </c>
      <c r="W134" t="s" s="11">
        <v>44</v>
      </c>
      <c r="X134" t="s" s="11">
        <v>849</v>
      </c>
      <c r="Y134" t="s" s="11">
        <v>46</v>
      </c>
      <c r="Z134" t="s" s="11">
        <v>850</v>
      </c>
      <c r="AA134" t="s" s="11">
        <v>851</v>
      </c>
      <c r="AB134" t="s" s="11">
        <v>851</v>
      </c>
      <c r="AC134" s="13"/>
      <c r="AD134" t="s" s="11">
        <v>50</v>
      </c>
      <c r="AE134" s="13"/>
    </row>
    <row r="135" ht="20.05" customHeight="1">
      <c r="A135" t="str" s="9" cm="1">
        <f t="array" ref="A135">"EKZ-170"</f>
        <v>EKZ-170</v>
      </c>
      <c r="B135" t="s" s="10">
        <v>33</v>
      </c>
      <c r="C135" t="s" s="11">
        <v>34</v>
      </c>
      <c r="D135" t="s" s="11">
        <v>149</v>
      </c>
      <c r="E135" t="s" s="11">
        <v>165</v>
      </c>
      <c r="F135" s="12">
        <v>1896</v>
      </c>
      <c r="G135" t="s" s="11">
        <v>853</v>
      </c>
      <c r="H135" t="s" s="11">
        <v>505</v>
      </c>
      <c r="I135" s="13"/>
      <c r="J135" t="s" s="11">
        <v>39</v>
      </c>
      <c r="K135" s="13"/>
      <c r="L135" s="13"/>
      <c r="M135" s="13"/>
      <c r="N135" s="13"/>
      <c r="O135" t="s" s="11">
        <v>854</v>
      </c>
      <c r="P135" t="s" s="11">
        <v>855</v>
      </c>
      <c r="Q135" t="s" s="11">
        <v>42</v>
      </c>
      <c r="R135" s="12">
        <v>174</v>
      </c>
      <c r="S135" s="13"/>
      <c r="T135" s="13"/>
      <c r="U135" s="13"/>
      <c r="V135" t="s" s="11">
        <v>43</v>
      </c>
      <c r="W135" t="s" s="11">
        <v>44</v>
      </c>
      <c r="X135" t="s" s="11">
        <v>856</v>
      </c>
      <c r="Y135" t="s" s="11">
        <v>46</v>
      </c>
      <c r="Z135" t="s" s="11">
        <v>856</v>
      </c>
      <c r="AA135" t="s" s="11">
        <v>857</v>
      </c>
      <c r="AB135" t="s" s="11">
        <v>857</v>
      </c>
      <c r="AC135" s="13"/>
      <c r="AD135" t="s" s="11">
        <v>50</v>
      </c>
      <c r="AE135" s="13"/>
    </row>
    <row r="136" ht="20.05" customHeight="1">
      <c r="A136" t="str" s="9" cm="1">
        <f t="array" ref="A136">"BOC-704"</f>
        <v>BOC-704</v>
      </c>
      <c r="B136" t="s" s="10">
        <v>52</v>
      </c>
      <c r="C136" t="s" s="11">
        <v>34</v>
      </c>
      <c r="D136" t="s" s="11">
        <v>149</v>
      </c>
      <c r="E136" t="s" s="11">
        <v>165</v>
      </c>
      <c r="F136" s="12">
        <v>1896</v>
      </c>
      <c r="G136" t="s" s="11">
        <v>859</v>
      </c>
      <c r="H136" t="s" s="11">
        <v>505</v>
      </c>
      <c r="I136" s="13"/>
      <c r="J136" t="s" s="11">
        <v>39</v>
      </c>
      <c r="K136" s="13"/>
      <c r="L136" s="13"/>
      <c r="M136" t="s" s="11">
        <v>54</v>
      </c>
      <c r="N136" s="13"/>
      <c r="O136" t="s" s="11">
        <v>823</v>
      </c>
      <c r="P136" t="s" s="11">
        <v>860</v>
      </c>
      <c r="Q136" t="s" s="11">
        <v>42</v>
      </c>
      <c r="R136" s="12">
        <v>179</v>
      </c>
      <c r="S136" s="13"/>
      <c r="T136" s="13"/>
      <c r="U136" s="13"/>
      <c r="V136" t="s" s="11">
        <v>43</v>
      </c>
      <c r="W136" t="s" s="11">
        <v>44</v>
      </c>
      <c r="X136" t="s" s="11">
        <v>677</v>
      </c>
      <c r="Y136" s="13"/>
      <c r="Z136" s="13"/>
      <c r="AA136" t="s" s="11">
        <v>861</v>
      </c>
      <c r="AB136" t="s" s="11">
        <v>861</v>
      </c>
      <c r="AC136" s="13"/>
      <c r="AD136" t="s" s="11">
        <v>50</v>
      </c>
      <c r="AE136" s="13"/>
    </row>
    <row r="137" ht="20.05" customHeight="1">
      <c r="A137" t="str" s="9" cm="1">
        <f t="array" ref="A137">"BOC-710"</f>
        <v>BOC-710</v>
      </c>
      <c r="B137" t="s" s="10">
        <v>33</v>
      </c>
      <c r="C137" t="s" s="11">
        <v>34</v>
      </c>
      <c r="D137" t="s" s="11">
        <v>149</v>
      </c>
      <c r="E137" t="s" s="11">
        <v>165</v>
      </c>
      <c r="F137" s="12">
        <v>1896</v>
      </c>
      <c r="G137" t="s" s="11">
        <v>863</v>
      </c>
      <c r="H137" t="s" s="11">
        <v>505</v>
      </c>
      <c r="I137" s="13"/>
      <c r="J137" t="s" s="11">
        <v>39</v>
      </c>
      <c r="K137" s="13"/>
      <c r="L137" s="13"/>
      <c r="M137" s="13"/>
      <c r="N137" s="13"/>
      <c r="O137" t="s" s="11">
        <v>847</v>
      </c>
      <c r="P137" t="s" s="11">
        <v>848</v>
      </c>
      <c r="Q137" t="s" s="11">
        <v>42</v>
      </c>
      <c r="R137" s="12">
        <v>174</v>
      </c>
      <c r="S137" s="13"/>
      <c r="T137" s="13"/>
      <c r="U137" s="13"/>
      <c r="V137" t="s" s="11">
        <v>43</v>
      </c>
      <c r="W137" t="s" s="11">
        <v>44</v>
      </c>
      <c r="X137" t="s" s="11">
        <v>864</v>
      </c>
      <c r="Y137" t="s" s="11">
        <v>46</v>
      </c>
      <c r="Z137" t="s" s="11">
        <v>864</v>
      </c>
      <c r="AA137" t="s" s="11">
        <v>865</v>
      </c>
      <c r="AB137" t="s" s="11">
        <v>865</v>
      </c>
      <c r="AC137" s="13"/>
      <c r="AD137" t="s" s="11">
        <v>50</v>
      </c>
      <c r="AE137" s="13"/>
    </row>
    <row r="138" ht="20.05" customHeight="1">
      <c r="A138" t="str" s="9" cm="1">
        <f t="array" ref="A138">"IJK-274"</f>
        <v>IJK-274</v>
      </c>
      <c r="B138" t="s" s="10">
        <v>52</v>
      </c>
      <c r="C138" t="s" s="11">
        <v>34</v>
      </c>
      <c r="D138" t="s" s="11">
        <v>149</v>
      </c>
      <c r="E138" t="s" s="11">
        <v>165</v>
      </c>
      <c r="F138" s="12">
        <v>1896</v>
      </c>
      <c r="G138" t="s" s="11">
        <v>867</v>
      </c>
      <c r="H138" t="s" s="11">
        <v>505</v>
      </c>
      <c r="I138" s="13"/>
      <c r="J138" t="s" s="11">
        <v>39</v>
      </c>
      <c r="K138" s="13"/>
      <c r="L138" s="13"/>
      <c r="M138" t="s" s="11">
        <v>54</v>
      </c>
      <c r="N138" s="13"/>
      <c r="O138" t="s" s="11">
        <v>382</v>
      </c>
      <c r="P138" t="s" s="11">
        <v>473</v>
      </c>
      <c r="Q138" t="s" s="11">
        <v>42</v>
      </c>
      <c r="R138" s="12">
        <v>174</v>
      </c>
      <c r="S138" s="13"/>
      <c r="T138" s="13"/>
      <c r="U138" s="13"/>
      <c r="V138" t="s" s="11">
        <v>43</v>
      </c>
      <c r="W138" t="s" s="11">
        <v>44</v>
      </c>
      <c r="X138" t="s" s="11">
        <v>868</v>
      </c>
      <c r="Y138" t="s" s="11">
        <v>46</v>
      </c>
      <c r="Z138" t="s" s="11">
        <v>869</v>
      </c>
      <c r="AA138" t="s" s="11">
        <v>851</v>
      </c>
      <c r="AB138" t="s" s="11">
        <v>851</v>
      </c>
      <c r="AC138" s="13"/>
      <c r="AD138" t="s" s="11">
        <v>50</v>
      </c>
      <c r="AE138" s="13"/>
    </row>
    <row r="139" ht="20.05" customHeight="1">
      <c r="A139" t="str" s="9" cm="1">
        <f t="array" ref="A139">"BOB-764"</f>
        <v>BOB-764</v>
      </c>
      <c r="B139" t="s" s="10">
        <v>33</v>
      </c>
      <c r="C139" t="s" s="11">
        <v>34</v>
      </c>
      <c r="D139" t="s" s="11">
        <v>149</v>
      </c>
      <c r="E139" t="s" s="11">
        <v>165</v>
      </c>
      <c r="F139" s="12">
        <v>1896</v>
      </c>
      <c r="G139" t="s" s="11">
        <v>871</v>
      </c>
      <c r="H139" t="s" s="11">
        <v>505</v>
      </c>
      <c r="I139" s="13"/>
      <c r="J139" t="s" s="11">
        <v>39</v>
      </c>
      <c r="K139" s="13"/>
      <c r="L139" s="13"/>
      <c r="M139" s="13"/>
      <c r="N139" s="13"/>
      <c r="O139" t="s" s="11">
        <v>872</v>
      </c>
      <c r="P139" t="s" s="11">
        <v>873</v>
      </c>
      <c r="Q139" t="s" s="11">
        <v>42</v>
      </c>
      <c r="R139" s="12">
        <v>174</v>
      </c>
      <c r="S139" s="13"/>
      <c r="T139" s="13"/>
      <c r="U139" s="13"/>
      <c r="V139" t="s" s="11">
        <v>43</v>
      </c>
      <c r="W139" t="s" s="11">
        <v>44</v>
      </c>
      <c r="X139" t="s" s="11">
        <v>874</v>
      </c>
      <c r="Y139" t="s" s="11">
        <v>46</v>
      </c>
      <c r="Z139" t="s" s="11">
        <v>869</v>
      </c>
      <c r="AA139" t="s" s="11">
        <v>857</v>
      </c>
      <c r="AB139" t="s" s="11">
        <v>857</v>
      </c>
      <c r="AC139" s="13"/>
      <c r="AD139" t="s" s="11">
        <v>50</v>
      </c>
      <c r="AE139" s="13"/>
    </row>
    <row r="140" ht="20.05" customHeight="1">
      <c r="A140" t="str" s="9" cm="1">
        <f t="array" ref="A140">"ECZ-366"</f>
        <v>ECZ-366</v>
      </c>
      <c r="B140" t="s" s="10">
        <v>33</v>
      </c>
      <c r="C140" t="s" s="11">
        <v>34</v>
      </c>
      <c r="D140" t="s" s="11">
        <v>149</v>
      </c>
      <c r="E140" t="s" s="11">
        <v>828</v>
      </c>
      <c r="F140" s="12">
        <v>1896</v>
      </c>
      <c r="G140" t="s" s="11">
        <v>876</v>
      </c>
      <c r="H140" t="s" s="11">
        <v>505</v>
      </c>
      <c r="I140" s="13"/>
      <c r="J140" t="s" s="11">
        <v>39</v>
      </c>
      <c r="K140" s="13"/>
      <c r="L140" s="13"/>
      <c r="M140" s="13"/>
      <c r="N140" s="13"/>
      <c r="O140" t="s" s="11">
        <v>158</v>
      </c>
      <c r="P140" t="s" s="11">
        <v>196</v>
      </c>
      <c r="Q140" t="s" s="11">
        <v>42</v>
      </c>
      <c r="R140" s="12">
        <v>174</v>
      </c>
      <c r="S140" s="13"/>
      <c r="T140" s="13"/>
      <c r="U140" s="13"/>
      <c r="V140" t="s" s="11">
        <v>43</v>
      </c>
      <c r="W140" t="s" s="11">
        <v>44</v>
      </c>
      <c r="X140" t="s" s="11">
        <v>877</v>
      </c>
      <c r="Y140" t="s" s="11">
        <v>46</v>
      </c>
      <c r="Z140" t="s" s="11">
        <v>878</v>
      </c>
      <c r="AA140" t="s" s="11">
        <v>879</v>
      </c>
      <c r="AB140" t="s" s="11">
        <v>879</v>
      </c>
      <c r="AC140" s="13"/>
      <c r="AD140" t="s" s="11">
        <v>50</v>
      </c>
      <c r="AE140" s="13"/>
    </row>
    <row r="141" ht="20.05" customHeight="1">
      <c r="A141" t="str" s="9" cm="1">
        <f t="array" ref="A141">"AKZ-433"</f>
        <v>AKZ-433</v>
      </c>
      <c r="B141" t="s" s="10">
        <v>52</v>
      </c>
      <c r="C141" t="s" s="11">
        <v>34</v>
      </c>
      <c r="D141" t="s" s="11">
        <v>149</v>
      </c>
      <c r="E141" t="s" s="11">
        <v>828</v>
      </c>
      <c r="F141" s="12">
        <v>1896</v>
      </c>
      <c r="G141" t="s" s="11">
        <v>881</v>
      </c>
      <c r="H141" t="s" s="11">
        <v>505</v>
      </c>
      <c r="I141" s="13"/>
      <c r="J141" t="s" s="11">
        <v>39</v>
      </c>
      <c r="K141" s="13"/>
      <c r="L141" s="13"/>
      <c r="M141" t="s" s="11">
        <v>54</v>
      </c>
      <c r="N141" s="13"/>
      <c r="O141" t="s" s="11">
        <v>882</v>
      </c>
      <c r="P141" t="s" s="11">
        <v>883</v>
      </c>
      <c r="Q141" t="s" s="11">
        <v>42</v>
      </c>
      <c r="R141" s="12">
        <v>174</v>
      </c>
      <c r="S141" s="13"/>
      <c r="T141" s="13"/>
      <c r="U141" s="13"/>
      <c r="V141" t="s" s="11">
        <v>43</v>
      </c>
      <c r="W141" t="s" s="11">
        <v>44</v>
      </c>
      <c r="X141" t="s" s="11">
        <v>884</v>
      </c>
      <c r="Y141" t="s" s="11">
        <v>46</v>
      </c>
      <c r="Z141" t="s" s="11">
        <v>885</v>
      </c>
      <c r="AA141" t="s" s="11">
        <v>886</v>
      </c>
      <c r="AB141" t="s" s="11">
        <v>886</v>
      </c>
      <c r="AC141" s="13"/>
      <c r="AD141" t="s" s="11">
        <v>50</v>
      </c>
      <c r="AE141" s="13"/>
    </row>
    <row r="142" ht="20.05" customHeight="1">
      <c r="A142" t="str" s="9" cm="1">
        <f t="array" ref="A142">"AKZ-443"</f>
        <v>AKZ-443</v>
      </c>
      <c r="B142" t="s" s="10">
        <v>33</v>
      </c>
      <c r="C142" t="s" s="11">
        <v>34</v>
      </c>
      <c r="D142" t="s" s="11">
        <v>149</v>
      </c>
      <c r="E142" t="s" s="11">
        <v>828</v>
      </c>
      <c r="F142" s="12">
        <v>1896</v>
      </c>
      <c r="G142" t="s" s="11">
        <v>888</v>
      </c>
      <c r="H142" t="s" s="11">
        <v>505</v>
      </c>
      <c r="I142" s="13"/>
      <c r="J142" t="s" s="11">
        <v>39</v>
      </c>
      <c r="K142" s="13"/>
      <c r="L142" s="13"/>
      <c r="M142" s="13"/>
      <c r="N142" s="13"/>
      <c r="O142" t="s" s="11">
        <v>484</v>
      </c>
      <c r="P142" t="s" s="11">
        <v>485</v>
      </c>
      <c r="Q142" t="s" s="11">
        <v>42</v>
      </c>
      <c r="R142" s="12">
        <v>174</v>
      </c>
      <c r="S142" s="13"/>
      <c r="T142" s="13"/>
      <c r="U142" s="13"/>
      <c r="V142" t="s" s="11">
        <v>43</v>
      </c>
      <c r="W142" t="s" s="11">
        <v>44</v>
      </c>
      <c r="X142" t="s" s="11">
        <v>889</v>
      </c>
      <c r="Y142" t="s" s="11">
        <v>46</v>
      </c>
      <c r="Z142" t="s" s="11">
        <v>360</v>
      </c>
      <c r="AA142" t="s" s="11">
        <v>890</v>
      </c>
      <c r="AB142" t="s" s="11">
        <v>890</v>
      </c>
      <c r="AC142" t="s" s="11">
        <v>438</v>
      </c>
      <c r="AD142" t="s" s="11">
        <v>50</v>
      </c>
      <c r="AE142" s="13"/>
    </row>
    <row r="143" ht="20.05" customHeight="1">
      <c r="A143" t="str" s="9" cm="1">
        <f t="array" ref="A143">"FJJ-976"</f>
        <v>FJJ-976</v>
      </c>
      <c r="B143" t="s" s="10">
        <v>52</v>
      </c>
      <c r="C143" t="s" s="11">
        <v>34</v>
      </c>
      <c r="D143" t="s" s="11">
        <v>149</v>
      </c>
      <c r="E143" t="s" s="11">
        <v>828</v>
      </c>
      <c r="F143" s="12">
        <v>1896</v>
      </c>
      <c r="G143" t="s" s="11">
        <v>892</v>
      </c>
      <c r="H143" t="s" s="11">
        <v>505</v>
      </c>
      <c r="I143" s="13"/>
      <c r="J143" t="s" s="11">
        <v>39</v>
      </c>
      <c r="K143" s="13"/>
      <c r="L143" s="13"/>
      <c r="M143" t="s" s="11">
        <v>54</v>
      </c>
      <c r="N143" s="13"/>
      <c r="O143" t="s" s="11">
        <v>893</v>
      </c>
      <c r="P143" t="s" s="11">
        <v>894</v>
      </c>
      <c r="Q143" t="s" s="11">
        <v>42</v>
      </c>
      <c r="R143" s="12">
        <v>174</v>
      </c>
      <c r="S143" s="13"/>
      <c r="T143" s="13"/>
      <c r="U143" s="13"/>
      <c r="V143" t="s" s="11">
        <v>43</v>
      </c>
      <c r="W143" t="s" s="11">
        <v>44</v>
      </c>
      <c r="X143" t="s" s="11">
        <v>895</v>
      </c>
      <c r="Y143" s="13"/>
      <c r="Z143" s="13"/>
      <c r="AA143" t="s" s="11">
        <v>896</v>
      </c>
      <c r="AB143" t="s" s="11">
        <v>896</v>
      </c>
      <c r="AC143" s="13"/>
      <c r="AD143" t="s" s="11">
        <v>50</v>
      </c>
      <c r="AE143" s="13"/>
    </row>
    <row r="144" ht="20.05" customHeight="1">
      <c r="A144" t="str" s="9" cm="1">
        <f t="array" ref="A144">"KRJ-368"</f>
        <v>KRJ-368</v>
      </c>
      <c r="B144" t="s" s="10">
        <v>52</v>
      </c>
      <c r="C144" t="s" s="11">
        <v>34</v>
      </c>
      <c r="D144" t="s" s="11">
        <v>149</v>
      </c>
      <c r="E144" t="s" s="11">
        <v>165</v>
      </c>
      <c r="F144" s="12">
        <v>1598</v>
      </c>
      <c r="G144" t="s" s="11">
        <v>898</v>
      </c>
      <c r="H144" t="s" s="11">
        <v>505</v>
      </c>
      <c r="I144" s="13"/>
      <c r="J144" t="s" s="11">
        <v>39</v>
      </c>
      <c r="K144" s="13"/>
      <c r="L144" s="13"/>
      <c r="M144" t="s" s="11">
        <v>54</v>
      </c>
      <c r="N144" s="13"/>
      <c r="O144" t="s" s="11">
        <v>360</v>
      </c>
      <c r="P144" t="s" s="11">
        <v>434</v>
      </c>
      <c r="Q144" t="s" s="11">
        <v>42</v>
      </c>
      <c r="R144" s="12">
        <v>149</v>
      </c>
      <c r="S144" s="13"/>
      <c r="T144" s="13"/>
      <c r="U144" s="13"/>
      <c r="V144" t="s" s="11">
        <v>43</v>
      </c>
      <c r="W144" t="s" s="11">
        <v>44</v>
      </c>
      <c r="X144" t="s" s="11">
        <v>677</v>
      </c>
      <c r="Y144" t="s" s="11">
        <v>46</v>
      </c>
      <c r="Z144" t="s" s="11">
        <v>899</v>
      </c>
      <c r="AA144" t="s" s="11">
        <v>900</v>
      </c>
      <c r="AB144" t="s" s="11">
        <v>900</v>
      </c>
      <c r="AC144" s="13"/>
      <c r="AD144" t="s" s="11">
        <v>50</v>
      </c>
      <c r="AE144" s="13"/>
    </row>
    <row r="145" ht="20.05" customHeight="1">
      <c r="A145" t="str" s="9" cm="1">
        <f t="array" ref="A145">"BPX-195"</f>
        <v>BPX-195</v>
      </c>
      <c r="B145" t="s" s="10">
        <v>33</v>
      </c>
      <c r="C145" t="s" s="11">
        <v>34</v>
      </c>
      <c r="D145" t="s" s="11">
        <v>149</v>
      </c>
      <c r="E145" t="s" s="11">
        <v>165</v>
      </c>
      <c r="F145" s="12">
        <v>1598</v>
      </c>
      <c r="G145" t="s" s="11">
        <v>902</v>
      </c>
      <c r="H145" t="s" s="11">
        <v>505</v>
      </c>
      <c r="I145" s="13"/>
      <c r="J145" t="s" s="11">
        <v>39</v>
      </c>
      <c r="K145" s="13"/>
      <c r="L145" s="13"/>
      <c r="M145" s="13"/>
      <c r="N145" s="13"/>
      <c r="O145" t="s" s="11">
        <v>903</v>
      </c>
      <c r="P145" t="s" s="11">
        <v>904</v>
      </c>
      <c r="Q145" t="s" s="11">
        <v>42</v>
      </c>
      <c r="R145" s="12">
        <v>139</v>
      </c>
      <c r="S145" s="13"/>
      <c r="T145" s="13"/>
      <c r="U145" s="13"/>
      <c r="V145" t="s" s="11">
        <v>43</v>
      </c>
      <c r="W145" t="s" s="11">
        <v>44</v>
      </c>
      <c r="X145" t="s" s="11">
        <v>746</v>
      </c>
      <c r="Y145" t="s" s="11">
        <v>46</v>
      </c>
      <c r="Z145" t="s" s="11">
        <v>630</v>
      </c>
      <c r="AA145" t="s" s="11">
        <v>905</v>
      </c>
      <c r="AB145" t="s" s="11">
        <v>905</v>
      </c>
      <c r="AC145" s="13"/>
      <c r="AD145" t="s" s="11">
        <v>50</v>
      </c>
      <c r="AE145" s="13"/>
    </row>
    <row r="146" ht="20.05" customHeight="1">
      <c r="A146" t="str" s="9" cm="1">
        <f t="array" ref="A146">"IKS-937"</f>
        <v>IKS-937</v>
      </c>
      <c r="B146" t="s" s="10">
        <v>33</v>
      </c>
      <c r="C146" t="s" s="11">
        <v>34</v>
      </c>
      <c r="D146" t="s" s="11">
        <v>149</v>
      </c>
      <c r="E146" t="s" s="11">
        <v>150</v>
      </c>
      <c r="F146" s="12">
        <v>1968</v>
      </c>
      <c r="G146" t="s" s="11">
        <v>907</v>
      </c>
      <c r="H146" t="s" s="11">
        <v>505</v>
      </c>
      <c r="I146" s="13"/>
      <c r="J146" t="s" s="11">
        <v>39</v>
      </c>
      <c r="K146" s="13"/>
      <c r="L146" s="13"/>
      <c r="M146" t="s" s="11">
        <v>69</v>
      </c>
      <c r="N146" s="13"/>
      <c r="O146" t="s" s="11">
        <v>908</v>
      </c>
      <c r="P146" t="s" s="11">
        <v>909</v>
      </c>
      <c r="Q146" t="s" s="11">
        <v>42</v>
      </c>
      <c r="R146" s="12">
        <v>198</v>
      </c>
      <c r="S146" s="13"/>
      <c r="T146" s="13"/>
      <c r="U146" s="13"/>
      <c r="V146" t="s" s="11">
        <v>43</v>
      </c>
      <c r="W146" t="s" s="11">
        <v>44</v>
      </c>
      <c r="X146" t="s" s="11">
        <v>910</v>
      </c>
      <c r="Y146" t="s" s="11">
        <v>46</v>
      </c>
      <c r="Z146" t="s" s="11">
        <v>689</v>
      </c>
      <c r="AA146" t="s" s="11">
        <v>911</v>
      </c>
      <c r="AB146" t="s" s="11">
        <v>911</v>
      </c>
      <c r="AC146" s="13"/>
      <c r="AD146" t="s" s="11">
        <v>50</v>
      </c>
      <c r="AE146" s="13"/>
    </row>
    <row r="147" ht="20.05" customHeight="1">
      <c r="A147" t="str" s="9" cm="1">
        <f t="array" ref="A147">"KMM-124"</f>
        <v>KMM-124</v>
      </c>
      <c r="B147" t="s" s="10">
        <v>52</v>
      </c>
      <c r="C147" t="s" s="11">
        <v>34</v>
      </c>
      <c r="D147" t="s" s="11">
        <v>164</v>
      </c>
      <c r="E147" t="s" s="11">
        <v>165</v>
      </c>
      <c r="F147" s="12">
        <v>1968</v>
      </c>
      <c r="G147" t="s" s="11">
        <v>913</v>
      </c>
      <c r="H147" t="s" s="11">
        <v>505</v>
      </c>
      <c r="I147" s="13"/>
      <c r="J147" t="s" s="11">
        <v>39</v>
      </c>
      <c r="K147" s="13"/>
      <c r="L147" s="13"/>
      <c r="M147" t="s" s="11">
        <v>54</v>
      </c>
      <c r="N147" s="13"/>
      <c r="O147" t="s" s="11">
        <v>914</v>
      </c>
      <c r="P147" t="s" s="11">
        <v>915</v>
      </c>
      <c r="Q147" t="s" s="11">
        <v>42</v>
      </c>
      <c r="R147" s="12">
        <v>152</v>
      </c>
      <c r="S147" s="13"/>
      <c r="T147" s="13"/>
      <c r="U147" s="13"/>
      <c r="V147" t="s" s="11">
        <v>43</v>
      </c>
      <c r="W147" t="s" s="11">
        <v>44</v>
      </c>
      <c r="X147" t="s" s="11">
        <v>916</v>
      </c>
      <c r="Y147" t="s" s="11">
        <v>46</v>
      </c>
      <c r="Z147" t="s" s="11">
        <v>917</v>
      </c>
      <c r="AA147" t="s" s="11">
        <v>646</v>
      </c>
      <c r="AB147" t="s" s="11">
        <v>646</v>
      </c>
      <c r="AC147" t="s" s="11">
        <v>49</v>
      </c>
      <c r="AD147" t="s" s="11">
        <v>50</v>
      </c>
      <c r="AE147" s="13"/>
    </row>
    <row r="148" ht="20.05" customHeight="1">
      <c r="A148" t="str" s="9" cm="1">
        <f t="array" ref="A148">"JJC-376"</f>
        <v>JJC-376</v>
      </c>
      <c r="B148" t="s" s="10">
        <v>33</v>
      </c>
      <c r="C148" t="s" s="11">
        <v>34</v>
      </c>
      <c r="D148" t="s" s="11">
        <v>164</v>
      </c>
      <c r="E148" t="s" s="11">
        <v>165</v>
      </c>
      <c r="F148" s="12">
        <v>1968</v>
      </c>
      <c r="G148" t="s" s="11">
        <v>919</v>
      </c>
      <c r="H148" t="s" s="11">
        <v>505</v>
      </c>
      <c r="I148" s="13"/>
      <c r="J148" t="s" s="11">
        <v>39</v>
      </c>
      <c r="K148" s="13"/>
      <c r="L148" s="13"/>
      <c r="M148" s="13"/>
      <c r="N148" s="13"/>
      <c r="O148" t="s" s="11">
        <v>920</v>
      </c>
      <c r="P148" t="s" s="11">
        <v>921</v>
      </c>
      <c r="Q148" t="s" s="11">
        <v>42</v>
      </c>
      <c r="R148" s="12">
        <v>152</v>
      </c>
      <c r="S148" s="13"/>
      <c r="T148" s="13"/>
      <c r="U148" s="13"/>
      <c r="V148" t="s" s="11">
        <v>43</v>
      </c>
      <c r="W148" t="s" s="11">
        <v>44</v>
      </c>
      <c r="X148" t="s" s="11">
        <v>922</v>
      </c>
      <c r="Y148" t="s" s="11">
        <v>46</v>
      </c>
      <c r="Z148" t="s" s="11">
        <v>917</v>
      </c>
      <c r="AA148" t="s" s="11">
        <v>923</v>
      </c>
      <c r="AB148" t="s" s="11">
        <v>923</v>
      </c>
      <c r="AC148" t="s" s="11">
        <v>49</v>
      </c>
      <c r="AD148" t="s" s="11">
        <v>50</v>
      </c>
      <c r="AE148" s="13"/>
    </row>
    <row r="149" ht="20.05" customHeight="1">
      <c r="A149" t="str" s="9" cm="1">
        <f t="array" ref="A149">"GKY-172"</f>
        <v>GKY-172</v>
      </c>
      <c r="B149" t="s" s="10">
        <v>52</v>
      </c>
      <c r="C149" t="s" s="11">
        <v>34</v>
      </c>
      <c r="D149" t="s" s="11">
        <v>164</v>
      </c>
      <c r="E149" t="s" s="11">
        <v>165</v>
      </c>
      <c r="F149" s="12">
        <v>1968</v>
      </c>
      <c r="G149" t="s" s="11">
        <v>925</v>
      </c>
      <c r="H149" t="s" s="11">
        <v>505</v>
      </c>
      <c r="I149" s="13"/>
      <c r="J149" t="s" s="11">
        <v>39</v>
      </c>
      <c r="K149" s="13"/>
      <c r="L149" s="13"/>
      <c r="M149" t="s" s="11">
        <v>54</v>
      </c>
      <c r="N149" s="13"/>
      <c r="O149" t="s" s="11">
        <v>926</v>
      </c>
      <c r="P149" t="s" s="11">
        <v>837</v>
      </c>
      <c r="Q149" t="s" s="11">
        <v>42</v>
      </c>
      <c r="R149" s="12">
        <v>152</v>
      </c>
      <c r="S149" s="13"/>
      <c r="T149" s="13"/>
      <c r="U149" s="13"/>
      <c r="V149" t="s" s="11">
        <v>43</v>
      </c>
      <c r="W149" t="s" s="11">
        <v>44</v>
      </c>
      <c r="X149" t="s" s="11">
        <v>927</v>
      </c>
      <c r="Y149" s="13"/>
      <c r="Z149" s="13"/>
      <c r="AA149" t="s" s="11">
        <v>928</v>
      </c>
      <c r="AB149" t="s" s="11">
        <v>928</v>
      </c>
      <c r="AC149" s="13"/>
      <c r="AD149" t="s" s="11">
        <v>50</v>
      </c>
      <c r="AE149" s="13"/>
    </row>
    <row r="150" ht="20.05" customHeight="1">
      <c r="A150" t="str" s="9" cm="1">
        <f t="array" ref="A150">"YVX-655"</f>
        <v>YVX-655</v>
      </c>
      <c r="B150" t="s" s="10">
        <v>52</v>
      </c>
      <c r="C150" t="s" s="11">
        <v>34</v>
      </c>
      <c r="D150" t="s" s="11">
        <v>164</v>
      </c>
      <c r="E150" t="s" s="11">
        <v>165</v>
      </c>
      <c r="F150" s="12">
        <v>1968</v>
      </c>
      <c r="G150" t="s" s="11">
        <v>166</v>
      </c>
      <c r="H150" t="s" s="11">
        <v>505</v>
      </c>
      <c r="I150" s="13"/>
      <c r="J150" t="s" s="11">
        <v>39</v>
      </c>
      <c r="K150" s="13"/>
      <c r="L150" t="s" s="11">
        <v>92</v>
      </c>
      <c r="M150" t="s" s="11">
        <v>54</v>
      </c>
      <c r="N150" s="13"/>
      <c r="O150" t="s" s="11">
        <v>167</v>
      </c>
      <c r="P150" t="s" s="11">
        <v>168</v>
      </c>
      <c r="Q150" t="s" s="11">
        <v>42</v>
      </c>
      <c r="R150" s="12">
        <v>152</v>
      </c>
      <c r="S150" s="13"/>
      <c r="T150" s="13"/>
      <c r="U150" s="13"/>
      <c r="V150" t="s" s="11">
        <v>43</v>
      </c>
      <c r="W150" t="s" s="11">
        <v>44</v>
      </c>
      <c r="X150" t="s" s="11">
        <v>95</v>
      </c>
      <c r="Y150" t="s" s="11">
        <v>46</v>
      </c>
      <c r="Z150" t="s" s="11">
        <v>95</v>
      </c>
      <c r="AA150" t="s" s="11">
        <v>169</v>
      </c>
      <c r="AB150" t="s" s="11">
        <v>169</v>
      </c>
      <c r="AC150" t="s" s="11">
        <v>49</v>
      </c>
      <c r="AD150" t="s" s="11">
        <v>50</v>
      </c>
      <c r="AE150" s="13"/>
    </row>
    <row r="151" ht="20.05" customHeight="1">
      <c r="A151" t="str" s="9" cm="1">
        <f t="array" ref="A151">"XVK-319"</f>
        <v>XVK-319</v>
      </c>
      <c r="B151" t="s" s="10">
        <v>52</v>
      </c>
      <c r="C151" t="s" s="11">
        <v>34</v>
      </c>
      <c r="D151" t="s" s="11">
        <v>164</v>
      </c>
      <c r="E151" t="s" s="11">
        <v>150</v>
      </c>
      <c r="F151" s="12">
        <v>1968</v>
      </c>
      <c r="G151" t="s" s="11">
        <v>930</v>
      </c>
      <c r="H151" t="s" s="11">
        <v>505</v>
      </c>
      <c r="I151" s="13"/>
      <c r="J151" t="s" s="11">
        <v>39</v>
      </c>
      <c r="K151" s="13"/>
      <c r="L151" s="13"/>
      <c r="M151" t="s" s="11">
        <v>54</v>
      </c>
      <c r="N151" s="13"/>
      <c r="O151" t="s" s="11">
        <v>931</v>
      </c>
      <c r="P151" t="s" s="11">
        <v>254</v>
      </c>
      <c r="Q151" t="s" s="11">
        <v>42</v>
      </c>
      <c r="R151" s="12">
        <v>198</v>
      </c>
      <c r="S151" s="13"/>
      <c r="T151" s="13"/>
      <c r="U151" s="13"/>
      <c r="V151" t="s" s="11">
        <v>43</v>
      </c>
      <c r="W151" t="s" s="11">
        <v>44</v>
      </c>
      <c r="X151" t="s" s="11">
        <v>932</v>
      </c>
      <c r="Y151" t="s" s="11">
        <v>46</v>
      </c>
      <c r="Z151" t="s" s="11">
        <v>932</v>
      </c>
      <c r="AA151" t="s" s="11">
        <v>933</v>
      </c>
      <c r="AB151" t="s" s="11">
        <v>933</v>
      </c>
      <c r="AC151" t="s" s="11">
        <v>49</v>
      </c>
      <c r="AD151" t="s" s="11">
        <v>50</v>
      </c>
      <c r="AE151" s="13"/>
    </row>
    <row r="152" ht="20.05" customHeight="1">
      <c r="A152" t="str" s="9" cm="1">
        <f t="array" ref="A152">"XVK-334"</f>
        <v>XVK-334</v>
      </c>
      <c r="B152" t="s" s="10">
        <v>52</v>
      </c>
      <c r="C152" t="s" s="11">
        <v>34</v>
      </c>
      <c r="D152" t="s" s="11">
        <v>164</v>
      </c>
      <c r="E152" t="s" s="11">
        <v>150</v>
      </c>
      <c r="F152" s="12">
        <v>1968</v>
      </c>
      <c r="G152" t="s" s="11">
        <v>935</v>
      </c>
      <c r="H152" t="s" s="11">
        <v>505</v>
      </c>
      <c r="I152" s="13"/>
      <c r="J152" t="s" s="11">
        <v>39</v>
      </c>
      <c r="K152" s="13"/>
      <c r="L152" s="13"/>
      <c r="M152" t="s" s="11">
        <v>54</v>
      </c>
      <c r="N152" s="13"/>
      <c r="O152" t="s" s="11">
        <v>936</v>
      </c>
      <c r="P152" t="s" s="11">
        <v>195</v>
      </c>
      <c r="Q152" t="s" s="11">
        <v>42</v>
      </c>
      <c r="R152" s="12">
        <v>198</v>
      </c>
      <c r="S152" s="13"/>
      <c r="T152" s="13"/>
      <c r="U152" s="13"/>
      <c r="V152" t="s" s="11">
        <v>43</v>
      </c>
      <c r="W152" t="s" s="11">
        <v>44</v>
      </c>
      <c r="X152" t="s" s="11">
        <v>516</v>
      </c>
      <c r="Y152" t="s" s="11">
        <v>46</v>
      </c>
      <c r="Z152" t="s" s="11">
        <v>516</v>
      </c>
      <c r="AA152" t="s" s="11">
        <v>937</v>
      </c>
      <c r="AB152" t="s" s="11">
        <v>937</v>
      </c>
      <c r="AC152" t="s" s="11">
        <v>49</v>
      </c>
      <c r="AD152" t="s" s="11">
        <v>50</v>
      </c>
      <c r="AE152" s="13"/>
    </row>
    <row r="153" ht="20.05" customHeight="1">
      <c r="A153" t="str" s="9" cm="1">
        <f t="array" ref="A153">"XVM-392"</f>
        <v>XVM-392</v>
      </c>
      <c r="B153" t="s" s="10">
        <v>52</v>
      </c>
      <c r="C153" t="s" s="11">
        <v>34</v>
      </c>
      <c r="D153" t="s" s="11">
        <v>164</v>
      </c>
      <c r="E153" t="s" s="11">
        <v>165</v>
      </c>
      <c r="F153" s="12">
        <v>1968</v>
      </c>
      <c r="G153" t="s" s="11">
        <v>171</v>
      </c>
      <c r="H153" t="s" s="11">
        <v>505</v>
      </c>
      <c r="I153" s="13"/>
      <c r="J153" t="s" s="11">
        <v>39</v>
      </c>
      <c r="K153" s="13"/>
      <c r="L153" t="s" s="11">
        <v>92</v>
      </c>
      <c r="M153" t="s" s="11">
        <v>54</v>
      </c>
      <c r="N153" s="13"/>
      <c r="O153" t="s" s="11">
        <v>172</v>
      </c>
      <c r="P153" t="s" s="11">
        <v>173</v>
      </c>
      <c r="Q153" t="s" s="11">
        <v>42</v>
      </c>
      <c r="R153" s="12">
        <v>152</v>
      </c>
      <c r="S153" s="13"/>
      <c r="T153" s="13"/>
      <c r="U153" s="13"/>
      <c r="V153" t="s" s="11">
        <v>43</v>
      </c>
      <c r="W153" t="s" s="11">
        <v>44</v>
      </c>
      <c r="X153" t="s" s="11">
        <v>95</v>
      </c>
      <c r="Y153" t="s" s="11">
        <v>46</v>
      </c>
      <c r="Z153" t="s" s="11">
        <v>95</v>
      </c>
      <c r="AA153" t="s" s="11">
        <v>169</v>
      </c>
      <c r="AB153" t="s" s="11">
        <v>169</v>
      </c>
      <c r="AC153" t="s" s="11">
        <v>49</v>
      </c>
      <c r="AD153" t="s" s="11">
        <v>50</v>
      </c>
      <c r="AE153" s="13"/>
    </row>
    <row r="154" ht="20.05" customHeight="1">
      <c r="A154" t="str" s="9" cm="1">
        <f t="array" ref="A154">"KMO-574"</f>
        <v>KMO-574</v>
      </c>
      <c r="B154" t="s" s="10">
        <v>33</v>
      </c>
      <c r="C154" t="s" s="11">
        <v>34</v>
      </c>
      <c r="D154" t="s" s="11">
        <v>164</v>
      </c>
      <c r="E154" t="s" s="11">
        <v>165</v>
      </c>
      <c r="F154" s="12">
        <v>1968</v>
      </c>
      <c r="G154" t="s" s="11">
        <v>939</v>
      </c>
      <c r="H154" t="s" s="11">
        <v>505</v>
      </c>
      <c r="I154" s="13"/>
      <c r="J154" t="s" s="11">
        <v>39</v>
      </c>
      <c r="K154" s="13"/>
      <c r="L154" s="13"/>
      <c r="M154" t="s" s="11">
        <v>940</v>
      </c>
      <c r="N154" s="13"/>
      <c r="O154" t="s" s="11">
        <v>941</v>
      </c>
      <c r="P154" t="s" s="11">
        <v>942</v>
      </c>
      <c r="Q154" t="s" s="11">
        <v>42</v>
      </c>
      <c r="R154" s="12">
        <v>152</v>
      </c>
      <c r="S154" s="13"/>
      <c r="T154" s="13"/>
      <c r="U154" s="13"/>
      <c r="V154" t="s" s="11">
        <v>43</v>
      </c>
      <c r="W154" t="s" s="11">
        <v>44</v>
      </c>
      <c r="X154" t="s" s="11">
        <v>916</v>
      </c>
      <c r="Y154" t="s" s="11">
        <v>46</v>
      </c>
      <c r="Z154" t="s" s="11">
        <v>917</v>
      </c>
      <c r="AA154" t="s" s="11">
        <v>943</v>
      </c>
      <c r="AB154" t="s" s="11">
        <v>943</v>
      </c>
      <c r="AC154" t="s" s="11">
        <v>49</v>
      </c>
      <c r="AD154" t="s" s="11">
        <v>50</v>
      </c>
      <c r="AE154" s="13"/>
    </row>
    <row r="155" ht="20.05" customHeight="1">
      <c r="A155" t="str" s="9" cm="1">
        <f t="array" ref="A155">"USF-166"</f>
        <v>USF-166</v>
      </c>
      <c r="B155" t="s" s="10">
        <v>52</v>
      </c>
      <c r="C155" t="s" s="11">
        <v>34</v>
      </c>
      <c r="D155" t="s" s="11">
        <v>164</v>
      </c>
      <c r="E155" t="s" s="11">
        <v>165</v>
      </c>
      <c r="F155" s="12">
        <v>1968</v>
      </c>
      <c r="G155" t="s" s="11">
        <v>945</v>
      </c>
      <c r="H155" t="s" s="11">
        <v>505</v>
      </c>
      <c r="I155" s="13"/>
      <c r="J155" t="s" s="11">
        <v>39</v>
      </c>
      <c r="K155" s="13"/>
      <c r="L155" s="13"/>
      <c r="M155" t="s" s="11">
        <v>54</v>
      </c>
      <c r="N155" s="13"/>
      <c r="O155" t="s" s="11">
        <v>946</v>
      </c>
      <c r="P155" t="s" s="11">
        <v>699</v>
      </c>
      <c r="Q155" t="s" s="11">
        <v>42</v>
      </c>
      <c r="R155" s="12">
        <v>152</v>
      </c>
      <c r="S155" s="13"/>
      <c r="T155" s="13"/>
      <c r="U155" s="13"/>
      <c r="V155" t="s" s="11">
        <v>43</v>
      </c>
      <c r="W155" t="s" s="11">
        <v>44</v>
      </c>
      <c r="X155" t="s" s="11">
        <v>947</v>
      </c>
      <c r="Y155" s="13"/>
      <c r="Z155" s="13"/>
      <c r="AA155" t="s" s="11">
        <v>943</v>
      </c>
      <c r="AB155" t="s" s="11">
        <v>943</v>
      </c>
      <c r="AC155" t="s" s="11">
        <v>49</v>
      </c>
      <c r="AD155" t="s" s="11">
        <v>50</v>
      </c>
      <c r="AE155" s="13"/>
    </row>
    <row r="156" ht="20.05" customHeight="1">
      <c r="A156" t="str" s="9" cm="1">
        <f t="array" ref="A156">"USF-169"</f>
        <v>USF-169</v>
      </c>
      <c r="B156" t="s" s="10">
        <v>33</v>
      </c>
      <c r="C156" t="s" s="11">
        <v>34</v>
      </c>
      <c r="D156" t="s" s="11">
        <v>164</v>
      </c>
      <c r="E156" t="s" s="11">
        <v>165</v>
      </c>
      <c r="F156" s="12">
        <v>1968</v>
      </c>
      <c r="G156" t="s" s="11">
        <v>949</v>
      </c>
      <c r="H156" t="s" s="11">
        <v>505</v>
      </c>
      <c r="I156" s="13"/>
      <c r="J156" t="s" s="11">
        <v>39</v>
      </c>
      <c r="K156" s="13"/>
      <c r="L156" s="13"/>
      <c r="M156" s="13"/>
      <c r="N156" s="13"/>
      <c r="O156" t="s" s="11">
        <v>854</v>
      </c>
      <c r="P156" t="s" s="11">
        <v>950</v>
      </c>
      <c r="Q156" t="s" s="11">
        <v>42</v>
      </c>
      <c r="R156" s="12">
        <v>152</v>
      </c>
      <c r="S156" s="13"/>
      <c r="T156" s="13"/>
      <c r="U156" s="13"/>
      <c r="V156" t="s" s="11">
        <v>43</v>
      </c>
      <c r="W156" t="s" s="11">
        <v>44</v>
      </c>
      <c r="X156" t="s" s="11">
        <v>916</v>
      </c>
      <c r="Y156" t="s" s="11">
        <v>46</v>
      </c>
      <c r="Z156" t="s" s="11">
        <v>917</v>
      </c>
      <c r="AA156" t="s" s="11">
        <v>943</v>
      </c>
      <c r="AB156" t="s" s="11">
        <v>943</v>
      </c>
      <c r="AC156" t="s" s="11">
        <v>49</v>
      </c>
      <c r="AD156" t="s" s="11">
        <v>50</v>
      </c>
      <c r="AE156" s="13"/>
    </row>
    <row r="157" ht="20.05" customHeight="1">
      <c r="A157" t="str" s="9" cm="1">
        <f t="array" ref="A157">"VXP-688"</f>
        <v>VXP-688</v>
      </c>
      <c r="B157" t="s" s="10">
        <v>52</v>
      </c>
      <c r="C157" t="s" s="11">
        <v>34</v>
      </c>
      <c r="D157" t="s" s="11">
        <v>164</v>
      </c>
      <c r="E157" t="s" s="11">
        <v>165</v>
      </c>
      <c r="F157" s="12">
        <v>1968</v>
      </c>
      <c r="G157" t="s" s="11">
        <v>952</v>
      </c>
      <c r="H157" t="s" s="11">
        <v>505</v>
      </c>
      <c r="I157" s="13"/>
      <c r="J157" t="s" s="11">
        <v>39</v>
      </c>
      <c r="K157" s="13"/>
      <c r="L157" s="13"/>
      <c r="M157" t="s" s="11">
        <v>54</v>
      </c>
      <c r="N157" s="13"/>
      <c r="O157" t="s" s="11">
        <v>953</v>
      </c>
      <c r="P157" t="s" s="11">
        <v>954</v>
      </c>
      <c r="Q157" t="s" s="11">
        <v>42</v>
      </c>
      <c r="R157" s="12">
        <v>152</v>
      </c>
      <c r="S157" s="13"/>
      <c r="T157" s="13"/>
      <c r="U157" s="13"/>
      <c r="V157" t="s" s="11">
        <v>43</v>
      </c>
      <c r="W157" t="s" s="11">
        <v>44</v>
      </c>
      <c r="X157" t="s" s="11">
        <v>842</v>
      </c>
      <c r="Y157" s="13"/>
      <c r="Z157" s="13"/>
      <c r="AA157" t="s" s="11">
        <v>955</v>
      </c>
      <c r="AB157" t="s" s="11">
        <v>955</v>
      </c>
      <c r="AC157" t="s" s="11">
        <v>49</v>
      </c>
      <c r="AD157" t="s" s="11">
        <v>50</v>
      </c>
      <c r="AE157" s="13"/>
    </row>
    <row r="158" ht="20.05" customHeight="1">
      <c r="A158" t="str" s="9" cm="1">
        <f t="array" ref="A158">"YKU-566"</f>
        <v>YKU-566</v>
      </c>
      <c r="B158" t="s" s="10">
        <v>33</v>
      </c>
      <c r="C158" t="s" s="11">
        <v>549</v>
      </c>
      <c r="D158" t="s" s="11">
        <v>164</v>
      </c>
      <c r="E158" t="s" s="11">
        <v>957</v>
      </c>
      <c r="F158" s="13"/>
      <c r="G158" t="s" s="11">
        <v>958</v>
      </c>
      <c r="H158" t="s" s="11">
        <v>505</v>
      </c>
      <c r="I158" s="13"/>
      <c r="J158" t="s" s="11">
        <v>82</v>
      </c>
      <c r="K158" t="s" s="11">
        <v>83</v>
      </c>
      <c r="L158" t="s" s="11">
        <v>108</v>
      </c>
      <c r="M158" s="13"/>
      <c r="N158" s="13"/>
      <c r="O158" t="s" s="11">
        <v>62</v>
      </c>
      <c r="P158" t="s" s="11">
        <v>63</v>
      </c>
      <c r="Q158" t="s" s="11">
        <v>42</v>
      </c>
      <c r="R158" s="13"/>
      <c r="S158" s="13"/>
      <c r="T158" s="13"/>
      <c r="U158" s="13"/>
      <c r="V158" t="s" s="11">
        <v>959</v>
      </c>
      <c r="W158" t="s" s="11">
        <v>111</v>
      </c>
      <c r="X158" t="s" s="11">
        <v>960</v>
      </c>
      <c r="Y158" t="s" s="11">
        <v>46</v>
      </c>
      <c r="Z158" t="s" s="11">
        <v>960</v>
      </c>
      <c r="AA158" t="s" s="11">
        <v>960</v>
      </c>
      <c r="AB158" t="s" s="11">
        <v>961</v>
      </c>
      <c r="AC158" s="13"/>
      <c r="AD158" t="s" s="11">
        <v>50</v>
      </c>
      <c r="AE158" s="13"/>
    </row>
    <row r="159" ht="20.05" customHeight="1">
      <c r="A159" t="str" s="9" cm="1">
        <f t="array" ref="A159">"JMR-900"</f>
        <v>JMR-900</v>
      </c>
      <c r="B159" t="s" s="10">
        <v>33</v>
      </c>
      <c r="C159" t="s" s="11">
        <v>549</v>
      </c>
      <c r="D159" t="s" s="11">
        <v>164</v>
      </c>
      <c r="E159" t="s" s="11">
        <v>165</v>
      </c>
      <c r="F159" s="12">
        <v>1968</v>
      </c>
      <c r="G159" t="s" s="11">
        <v>963</v>
      </c>
      <c r="H159" t="s" s="11">
        <v>505</v>
      </c>
      <c r="I159" s="13"/>
      <c r="J159" t="s" s="11">
        <v>82</v>
      </c>
      <c r="K159" t="s" s="11">
        <v>83</v>
      </c>
      <c r="L159" t="s" s="11">
        <v>108</v>
      </c>
      <c r="M159" t="s" s="11">
        <v>69</v>
      </c>
      <c r="N159" s="13"/>
      <c r="O159" t="s" s="11">
        <v>908</v>
      </c>
      <c r="P159" t="s" s="11">
        <v>909</v>
      </c>
      <c r="Q159" t="s" s="11">
        <v>42</v>
      </c>
      <c r="R159" s="12">
        <v>122</v>
      </c>
      <c r="S159" s="13"/>
      <c r="T159" s="12">
        <v>145</v>
      </c>
      <c r="U159" s="13"/>
      <c r="V159" t="s" s="11">
        <v>43</v>
      </c>
      <c r="W159" t="s" s="11">
        <v>111</v>
      </c>
      <c r="X159" t="s" s="11">
        <v>964</v>
      </c>
      <c r="Y159" t="s" s="11">
        <v>46</v>
      </c>
      <c r="Z159" t="s" s="11">
        <v>964</v>
      </c>
      <c r="AA159" t="s" s="11">
        <v>965</v>
      </c>
      <c r="AB159" t="s" s="11">
        <v>965</v>
      </c>
      <c r="AC159" t="s" s="11">
        <v>114</v>
      </c>
      <c r="AD159" t="s" s="11">
        <v>50</v>
      </c>
      <c r="AE159" s="13"/>
    </row>
    <row r="160" ht="20.05" customHeight="1">
      <c r="A160" t="str" s="9" cm="1">
        <f t="array" ref="A160">"JOC-393"</f>
        <v>JOC-393</v>
      </c>
      <c r="B160" t="s" s="10">
        <v>33</v>
      </c>
      <c r="C160" t="s" s="11">
        <v>549</v>
      </c>
      <c r="D160" t="s" s="11">
        <v>164</v>
      </c>
      <c r="E160" t="s" s="11">
        <v>165</v>
      </c>
      <c r="F160" s="12">
        <v>1968</v>
      </c>
      <c r="G160" t="s" s="11">
        <v>967</v>
      </c>
      <c r="H160" t="s" s="11">
        <v>505</v>
      </c>
      <c r="I160" s="13"/>
      <c r="J160" t="s" s="11">
        <v>82</v>
      </c>
      <c r="K160" t="s" s="11">
        <v>83</v>
      </c>
      <c r="L160" t="s" s="11">
        <v>108</v>
      </c>
      <c r="M160" t="s" s="11">
        <v>69</v>
      </c>
      <c r="N160" s="13"/>
      <c r="O160" t="s" s="11">
        <v>968</v>
      </c>
      <c r="P160" t="s" s="11">
        <v>969</v>
      </c>
      <c r="Q160" t="s" s="11">
        <v>42</v>
      </c>
      <c r="R160" s="13"/>
      <c r="S160" s="13"/>
      <c r="T160" s="12">
        <v>154</v>
      </c>
      <c r="U160" s="13"/>
      <c r="V160" t="s" s="11">
        <v>43</v>
      </c>
      <c r="W160" t="s" s="11">
        <v>111</v>
      </c>
      <c r="X160" t="s" s="11">
        <v>968</v>
      </c>
      <c r="Y160" t="s" s="11">
        <v>46</v>
      </c>
      <c r="Z160" t="s" s="11">
        <v>968</v>
      </c>
      <c r="AA160" t="s" s="11">
        <v>968</v>
      </c>
      <c r="AB160" t="s" s="11">
        <v>968</v>
      </c>
      <c r="AC160" t="s" s="11">
        <v>114</v>
      </c>
      <c r="AD160" t="s" s="11">
        <v>50</v>
      </c>
      <c r="AE160" s="13"/>
    </row>
  </sheetData>
  <mergeCells count="1">
    <mergeCell ref="A1:A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